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.xml" ContentType="application/vnd.openxmlformats-officedocument.drawing+xml"/>
  <Override PartName="/xl/comments2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B4647EFF-1D09-411F-8F2D-C82CE0596B00}" xr6:coauthVersionLast="47" xr6:coauthVersionMax="47" xr10:uidLastSave="{00000000-0000-0000-0000-000000000000}"/>
  <bookViews>
    <workbookView xWindow="-108" yWindow="-108" windowWidth="23256" windowHeight="12456" tabRatio="599" firstSheet="16" activeTab="21" xr2:uid="{1120807F-7390-4E10-A66F-84111922E872}"/>
  </bookViews>
  <sheets>
    <sheet name="Dec 18th" sheetId="658" state="hidden" r:id="rId1"/>
    <sheet name="Mar. 3rd" sheetId="706" r:id="rId2"/>
    <sheet name="Mar. 4th" sheetId="707" r:id="rId3"/>
    <sheet name="Mar. 5th " sheetId="708" r:id="rId4"/>
    <sheet name="Mar. 6th" sheetId="709" r:id="rId5"/>
    <sheet name="Mar. 7th &amp; 8th" sheetId="710" r:id="rId6"/>
    <sheet name="Mar. 10th" sheetId="711" r:id="rId7"/>
    <sheet name="Mar. 11th" sheetId="712" r:id="rId8"/>
    <sheet name="Mar. 12th" sheetId="713" r:id="rId9"/>
    <sheet name="Mar. 13th" sheetId="714" r:id="rId10"/>
    <sheet name="Mar. 14th &amp; 16th" sheetId="715" r:id="rId11"/>
    <sheet name="Mar. 17th" sheetId="716" r:id="rId12"/>
    <sheet name="Mar. 18th" sheetId="717" r:id="rId13"/>
    <sheet name="Mar. 19th" sheetId="718" r:id="rId14"/>
    <sheet name="Mar. 20th" sheetId="719" r:id="rId15"/>
    <sheet name="Mar. 21th" sheetId="720" r:id="rId16"/>
    <sheet name="Mar. 24th" sheetId="721" r:id="rId17"/>
    <sheet name="Mar. 25th" sheetId="722" r:id="rId18"/>
    <sheet name="Mar. 26th " sheetId="723" r:id="rId19"/>
    <sheet name="Mar. 27th " sheetId="724" r:id="rId20"/>
    <sheet name="Mar. 28th " sheetId="725" r:id="rId21"/>
    <sheet name="Mar. 31st" sheetId="726" r:id="rId22"/>
    <sheet name="MTD_Links" sheetId="18" r:id="rId23"/>
    <sheet name="YTD_Links" sheetId="19" r:id="rId24"/>
    <sheet name="KPIs" sheetId="20" state="hidden" r:id="rId25"/>
    <sheet name="Brewer Performance" sheetId="21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Print_Area" localSheetId="25">'Brewer Performance'!$B$2:$K$35</definedName>
    <definedName name="_xlnm.Print_Area" localSheetId="22">MTD_Links!$B$2:$K$65</definedName>
    <definedName name="_xlnm.Print_Area" localSheetId="23">YTD_Links!$B$2:$K$65</definedName>
    <definedName name="ProductList" localSheetId="25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2" i="726" l="1"/>
  <c r="G62" i="726"/>
  <c r="C62" i="726"/>
  <c r="K56" i="726"/>
  <c r="D56" i="726"/>
  <c r="G56" i="726"/>
  <c r="K63" i="726"/>
  <c r="G63" i="726"/>
  <c r="K54" i="726"/>
  <c r="G54" i="726"/>
  <c r="D54" i="726"/>
  <c r="L56" i="726" l="1"/>
  <c r="B56" i="726"/>
  <c r="C25" i="726"/>
  <c r="C26" i="726"/>
  <c r="C27" i="726"/>
  <c r="C28" i="726"/>
  <c r="B37" i="726"/>
  <c r="B25" i="726"/>
  <c r="M27" i="726"/>
  <c r="L27" i="726"/>
  <c r="K27" i="726"/>
  <c r="C11" i="726"/>
  <c r="D11" i="726"/>
  <c r="E11" i="726"/>
  <c r="F11" i="726"/>
  <c r="G11" i="726"/>
  <c r="I11" i="726"/>
  <c r="J11" i="726"/>
  <c r="L11" i="726"/>
  <c r="M11" i="726"/>
  <c r="N11" i="726"/>
  <c r="O11" i="726"/>
  <c r="C12" i="726"/>
  <c r="D12" i="726"/>
  <c r="E12" i="726"/>
  <c r="F12" i="726"/>
  <c r="G12" i="726"/>
  <c r="I12" i="726"/>
  <c r="J12" i="726"/>
  <c r="L12" i="726"/>
  <c r="M12" i="726"/>
  <c r="N12" i="726"/>
  <c r="O12" i="726"/>
  <c r="C13" i="726"/>
  <c r="D13" i="726"/>
  <c r="E13" i="726"/>
  <c r="F13" i="726"/>
  <c r="G13" i="726"/>
  <c r="I13" i="726"/>
  <c r="J13" i="726"/>
  <c r="L13" i="726"/>
  <c r="M13" i="726"/>
  <c r="N13" i="726"/>
  <c r="O13" i="726"/>
  <c r="O10" i="726"/>
  <c r="N10" i="726"/>
  <c r="M10" i="726"/>
  <c r="L10" i="726"/>
  <c r="J10" i="726"/>
  <c r="I10" i="726"/>
  <c r="G10" i="726"/>
  <c r="F10" i="726"/>
  <c r="E10" i="726"/>
  <c r="D10" i="726"/>
  <c r="C10" i="726"/>
  <c r="F67" i="726"/>
  <c r="AY57" i="726"/>
  <c r="AX57" i="726"/>
  <c r="AW57" i="726"/>
  <c r="AV57" i="726"/>
  <c r="AU57" i="726"/>
  <c r="AT57" i="726"/>
  <c r="AS57" i="726"/>
  <c r="AR57" i="726"/>
  <c r="AQ57" i="726"/>
  <c r="AP57" i="726"/>
  <c r="AO57" i="726"/>
  <c r="AN57" i="726"/>
  <c r="AM57" i="726"/>
  <c r="AL57" i="726"/>
  <c r="AK57" i="726"/>
  <c r="AJ57" i="726"/>
  <c r="AI57" i="726"/>
  <c r="AH57" i="726"/>
  <c r="AG57" i="726"/>
  <c r="AF57" i="726"/>
  <c r="AE57" i="726"/>
  <c r="AD57" i="726"/>
  <c r="AC57" i="726"/>
  <c r="AB57" i="726"/>
  <c r="AA57" i="726"/>
  <c r="Z57" i="726"/>
  <c r="Y57" i="726"/>
  <c r="X57" i="726"/>
  <c r="W57" i="726"/>
  <c r="V57" i="726"/>
  <c r="U57" i="726"/>
  <c r="L54" i="726"/>
  <c r="C63" i="726" s="1"/>
  <c r="B54" i="726"/>
  <c r="D47" i="726"/>
  <c r="K49" i="726"/>
  <c r="M32" i="726"/>
  <c r="M31" i="726"/>
  <c r="L31" i="726"/>
  <c r="K31" i="726"/>
  <c r="M30" i="726"/>
  <c r="M28" i="726"/>
  <c r="L28" i="726"/>
  <c r="K28" i="726"/>
  <c r="M26" i="726"/>
  <c r="L26" i="726"/>
  <c r="K26" i="726"/>
  <c r="M25" i="726"/>
  <c r="L25" i="726"/>
  <c r="K25" i="726"/>
  <c r="AA24" i="726"/>
  <c r="Z24" i="726"/>
  <c r="Y24" i="726"/>
  <c r="X24" i="726"/>
  <c r="W24" i="726"/>
  <c r="V24" i="726"/>
  <c r="U24" i="726"/>
  <c r="T24" i="726"/>
  <c r="S24" i="726"/>
  <c r="AA23" i="726"/>
  <c r="Z23" i="726"/>
  <c r="Y23" i="726"/>
  <c r="X23" i="726"/>
  <c r="W23" i="726"/>
  <c r="V23" i="726"/>
  <c r="U23" i="726"/>
  <c r="T23" i="726"/>
  <c r="S23" i="726"/>
  <c r="AA22" i="726"/>
  <c r="Z22" i="726"/>
  <c r="Y22" i="726"/>
  <c r="X22" i="726"/>
  <c r="W22" i="726"/>
  <c r="V22" i="726"/>
  <c r="U22" i="726"/>
  <c r="T22" i="726"/>
  <c r="S22" i="726"/>
  <c r="AA21" i="726"/>
  <c r="Z21" i="726"/>
  <c r="Y21" i="726"/>
  <c r="X21" i="726"/>
  <c r="W21" i="726"/>
  <c r="V21" i="726"/>
  <c r="U21" i="726"/>
  <c r="T21" i="726"/>
  <c r="S21" i="726"/>
  <c r="AA20" i="726"/>
  <c r="Z20" i="726"/>
  <c r="Y20" i="726"/>
  <c r="X20" i="726"/>
  <c r="W20" i="726"/>
  <c r="V20" i="726"/>
  <c r="U20" i="726"/>
  <c r="T20" i="726"/>
  <c r="S20" i="726"/>
  <c r="AA19" i="726"/>
  <c r="Z19" i="726"/>
  <c r="Y19" i="726"/>
  <c r="X19" i="726"/>
  <c r="W19" i="726"/>
  <c r="V19" i="726"/>
  <c r="U19" i="726"/>
  <c r="T19" i="726"/>
  <c r="S19" i="726"/>
  <c r="AA18" i="726"/>
  <c r="Z18" i="726"/>
  <c r="Y18" i="726"/>
  <c r="X18" i="726"/>
  <c r="W18" i="726"/>
  <c r="V18" i="726"/>
  <c r="U18" i="726"/>
  <c r="T18" i="726"/>
  <c r="S18" i="726"/>
  <c r="AA17" i="726"/>
  <c r="Z17" i="726"/>
  <c r="Y17" i="726"/>
  <c r="X17" i="726"/>
  <c r="W17" i="726"/>
  <c r="V17" i="726"/>
  <c r="U17" i="726"/>
  <c r="T17" i="726"/>
  <c r="S17" i="726"/>
  <c r="AA16" i="726"/>
  <c r="Z16" i="726"/>
  <c r="Y16" i="726"/>
  <c r="X16" i="726"/>
  <c r="W16" i="726"/>
  <c r="V16" i="726"/>
  <c r="U16" i="726"/>
  <c r="T16" i="726"/>
  <c r="S16" i="726"/>
  <c r="AA15" i="726"/>
  <c r="Z15" i="726"/>
  <c r="Y15" i="726"/>
  <c r="X15" i="726"/>
  <c r="W15" i="726"/>
  <c r="V15" i="726"/>
  <c r="U15" i="726"/>
  <c r="T15" i="726"/>
  <c r="S15" i="726"/>
  <c r="AA14" i="726"/>
  <c r="Z14" i="726"/>
  <c r="Y14" i="726"/>
  <c r="X14" i="726"/>
  <c r="W14" i="726"/>
  <c r="V14" i="726"/>
  <c r="U14" i="726"/>
  <c r="T14" i="726"/>
  <c r="S14" i="726"/>
  <c r="AA13" i="726"/>
  <c r="Z13" i="726"/>
  <c r="Y13" i="726"/>
  <c r="X13" i="726"/>
  <c r="W13" i="726"/>
  <c r="V13" i="726"/>
  <c r="U13" i="726"/>
  <c r="T13" i="726"/>
  <c r="S13" i="726"/>
  <c r="AA12" i="726"/>
  <c r="Z12" i="726"/>
  <c r="Y12" i="726"/>
  <c r="X12" i="726"/>
  <c r="W12" i="726"/>
  <c r="V12" i="726"/>
  <c r="U12" i="726"/>
  <c r="T12" i="726"/>
  <c r="S12" i="726"/>
  <c r="AA11" i="726"/>
  <c r="Z11" i="726"/>
  <c r="Y11" i="726"/>
  <c r="X11" i="726"/>
  <c r="W11" i="726"/>
  <c r="V11" i="726"/>
  <c r="U11" i="726"/>
  <c r="T11" i="726"/>
  <c r="S11" i="726"/>
  <c r="AA10" i="726"/>
  <c r="Z10" i="726"/>
  <c r="Y10" i="726"/>
  <c r="X10" i="726"/>
  <c r="W10" i="726"/>
  <c r="V10" i="726"/>
  <c r="U10" i="726"/>
  <c r="T10" i="726"/>
  <c r="S10" i="726"/>
  <c r="M25" i="725"/>
  <c r="L25" i="725"/>
  <c r="K25" i="725"/>
  <c r="M26" i="725"/>
  <c r="L26" i="725"/>
  <c r="K26" i="725"/>
  <c r="K40" i="725"/>
  <c r="K39" i="725"/>
  <c r="J27" i="726" l="1"/>
  <c r="K35" i="726"/>
  <c r="L35" i="726" s="1"/>
  <c r="M35" i="726" s="1"/>
  <c r="S16" i="725"/>
  <c r="T16" i="725"/>
  <c r="U16" i="725"/>
  <c r="V16" i="725"/>
  <c r="W16" i="725"/>
  <c r="X16" i="725"/>
  <c r="Y16" i="725"/>
  <c r="Z16" i="725"/>
  <c r="AA16" i="725"/>
  <c r="S17" i="725"/>
  <c r="T17" i="725"/>
  <c r="U17" i="725"/>
  <c r="V17" i="725"/>
  <c r="W17" i="725"/>
  <c r="X17" i="725"/>
  <c r="Y17" i="725"/>
  <c r="Z17" i="725"/>
  <c r="AA17" i="725"/>
  <c r="S18" i="725"/>
  <c r="T18" i="725"/>
  <c r="U18" i="725"/>
  <c r="V18" i="725"/>
  <c r="W18" i="725"/>
  <c r="X18" i="725"/>
  <c r="Y18" i="725"/>
  <c r="Z18" i="725"/>
  <c r="AA18" i="725"/>
  <c r="C15" i="725"/>
  <c r="D15" i="725"/>
  <c r="E15" i="725"/>
  <c r="F15" i="725"/>
  <c r="G15" i="725"/>
  <c r="I15" i="725"/>
  <c r="J15" i="725"/>
  <c r="K15" i="725"/>
  <c r="L15" i="725"/>
  <c r="M15" i="725"/>
  <c r="N15" i="725"/>
  <c r="O15" i="725"/>
  <c r="C16" i="725"/>
  <c r="D16" i="725"/>
  <c r="E16" i="725"/>
  <c r="F16" i="725"/>
  <c r="G16" i="725"/>
  <c r="I16" i="725"/>
  <c r="J16" i="725"/>
  <c r="K16" i="725"/>
  <c r="L16" i="725"/>
  <c r="M16" i="725"/>
  <c r="N16" i="725"/>
  <c r="O16" i="725"/>
  <c r="C17" i="725"/>
  <c r="D17" i="725"/>
  <c r="E17" i="725"/>
  <c r="F17" i="725"/>
  <c r="G17" i="725"/>
  <c r="I17" i="725"/>
  <c r="J17" i="725"/>
  <c r="K17" i="725"/>
  <c r="L17" i="725"/>
  <c r="M17" i="725"/>
  <c r="N17" i="725"/>
  <c r="O17" i="725"/>
  <c r="O14" i="725"/>
  <c r="N14" i="725"/>
  <c r="M14" i="725"/>
  <c r="L14" i="725"/>
  <c r="K14" i="725"/>
  <c r="J14" i="725"/>
  <c r="I14" i="725"/>
  <c r="G14" i="725"/>
  <c r="F14" i="725"/>
  <c r="E14" i="725"/>
  <c r="D14" i="725"/>
  <c r="C14" i="725"/>
  <c r="C11" i="725"/>
  <c r="D11" i="725"/>
  <c r="E11" i="725"/>
  <c r="F11" i="725"/>
  <c r="G11" i="725"/>
  <c r="I11" i="725"/>
  <c r="J11" i="725"/>
  <c r="K11" i="725"/>
  <c r="L11" i="725"/>
  <c r="M11" i="725"/>
  <c r="N11" i="725"/>
  <c r="O11" i="725"/>
  <c r="C12" i="725"/>
  <c r="D12" i="725"/>
  <c r="E12" i="725"/>
  <c r="F12" i="725"/>
  <c r="G12" i="725"/>
  <c r="K12" i="725"/>
  <c r="L12" i="725"/>
  <c r="M12" i="725"/>
  <c r="N12" i="725"/>
  <c r="O12" i="725"/>
  <c r="O10" i="725"/>
  <c r="N10" i="725"/>
  <c r="M10" i="725"/>
  <c r="L10" i="725"/>
  <c r="K10" i="725"/>
  <c r="J10" i="725"/>
  <c r="I10" i="725"/>
  <c r="G10" i="725"/>
  <c r="F10" i="725"/>
  <c r="C10" i="725"/>
  <c r="E10" i="725"/>
  <c r="D10" i="725"/>
  <c r="C25" i="725"/>
  <c r="C26" i="725"/>
  <c r="C27" i="725"/>
  <c r="C28" i="725"/>
  <c r="B25" i="725"/>
  <c r="J26" i="725" l="1"/>
  <c r="G54" i="725"/>
  <c r="K54" i="725"/>
  <c r="K63" i="725" s="1"/>
  <c r="B54" i="725" l="1"/>
  <c r="F67" i="725"/>
  <c r="AY57" i="725"/>
  <c r="AX57" i="725"/>
  <c r="AW57" i="725"/>
  <c r="AV57" i="725"/>
  <c r="AU57" i="725"/>
  <c r="AT57" i="725"/>
  <c r="AS57" i="725"/>
  <c r="AR57" i="725"/>
  <c r="AQ57" i="725"/>
  <c r="AP57" i="725"/>
  <c r="AO57" i="725"/>
  <c r="AN57" i="725"/>
  <c r="AM57" i="725"/>
  <c r="AL57" i="725"/>
  <c r="AK57" i="725"/>
  <c r="AJ57" i="725"/>
  <c r="AI57" i="725"/>
  <c r="AH57" i="725"/>
  <c r="AG57" i="725"/>
  <c r="AF57" i="725"/>
  <c r="AE57" i="725"/>
  <c r="AD57" i="725"/>
  <c r="AC57" i="725"/>
  <c r="AB57" i="725"/>
  <c r="AA57" i="725"/>
  <c r="Z57" i="725"/>
  <c r="Y57" i="725"/>
  <c r="X57" i="725"/>
  <c r="W57" i="725"/>
  <c r="V57" i="725"/>
  <c r="U57" i="725"/>
  <c r="D47" i="725"/>
  <c r="K49" i="725"/>
  <c r="M32" i="725"/>
  <c r="M31" i="725"/>
  <c r="L31" i="725"/>
  <c r="K31" i="725"/>
  <c r="M30" i="725"/>
  <c r="M28" i="725"/>
  <c r="L28" i="725"/>
  <c r="K28" i="725"/>
  <c r="M27" i="725"/>
  <c r="L27" i="725"/>
  <c r="K27" i="725"/>
  <c r="AA24" i="725"/>
  <c r="Z24" i="725"/>
  <c r="Y24" i="725"/>
  <c r="X24" i="725"/>
  <c r="W24" i="725"/>
  <c r="V24" i="725"/>
  <c r="U24" i="725"/>
  <c r="T24" i="725"/>
  <c r="S24" i="725"/>
  <c r="AA23" i="725"/>
  <c r="Z23" i="725"/>
  <c r="Y23" i="725"/>
  <c r="X23" i="725"/>
  <c r="W23" i="725"/>
  <c r="V23" i="725"/>
  <c r="U23" i="725"/>
  <c r="T23" i="725"/>
  <c r="S23" i="725"/>
  <c r="AA22" i="725"/>
  <c r="Z22" i="725"/>
  <c r="Y22" i="725"/>
  <c r="X22" i="725"/>
  <c r="W22" i="725"/>
  <c r="V22" i="725"/>
  <c r="U22" i="725"/>
  <c r="T22" i="725"/>
  <c r="S22" i="725"/>
  <c r="AA21" i="725"/>
  <c r="Z21" i="725"/>
  <c r="Y21" i="725"/>
  <c r="X21" i="725"/>
  <c r="W21" i="725"/>
  <c r="V21" i="725"/>
  <c r="U21" i="725"/>
  <c r="T21" i="725"/>
  <c r="S21" i="725"/>
  <c r="AA20" i="725"/>
  <c r="Z20" i="725"/>
  <c r="Y20" i="725"/>
  <c r="X20" i="725"/>
  <c r="W20" i="725"/>
  <c r="V20" i="725"/>
  <c r="U20" i="725"/>
  <c r="T20" i="725"/>
  <c r="S20" i="725"/>
  <c r="AA19" i="725"/>
  <c r="Z19" i="725"/>
  <c r="Y19" i="725"/>
  <c r="X19" i="725"/>
  <c r="W19" i="725"/>
  <c r="V19" i="725"/>
  <c r="U19" i="725"/>
  <c r="T19" i="725"/>
  <c r="S19" i="725"/>
  <c r="AA15" i="725"/>
  <c r="Z15" i="725"/>
  <c r="Y15" i="725"/>
  <c r="X15" i="725"/>
  <c r="W15" i="725"/>
  <c r="V15" i="725"/>
  <c r="U15" i="725"/>
  <c r="T15" i="725"/>
  <c r="S15" i="725"/>
  <c r="AA14" i="725"/>
  <c r="Z14" i="725"/>
  <c r="Y14" i="725"/>
  <c r="X14" i="725"/>
  <c r="W14" i="725"/>
  <c r="V14" i="725"/>
  <c r="U14" i="725"/>
  <c r="T14" i="725"/>
  <c r="S14" i="725"/>
  <c r="AA13" i="725"/>
  <c r="Z13" i="725"/>
  <c r="Y13" i="725"/>
  <c r="X13" i="725"/>
  <c r="W13" i="725"/>
  <c r="V13" i="725"/>
  <c r="U13" i="725"/>
  <c r="T13" i="725"/>
  <c r="S13" i="725"/>
  <c r="AA12" i="725"/>
  <c r="Z12" i="725"/>
  <c r="Y12" i="725"/>
  <c r="X12" i="725"/>
  <c r="W12" i="725"/>
  <c r="V12" i="725"/>
  <c r="U12" i="725"/>
  <c r="T12" i="725"/>
  <c r="S12" i="725"/>
  <c r="AA11" i="725"/>
  <c r="Z11" i="725"/>
  <c r="Y11" i="725"/>
  <c r="X11" i="725"/>
  <c r="W11" i="725"/>
  <c r="V11" i="725"/>
  <c r="U11" i="725"/>
  <c r="T11" i="725"/>
  <c r="S11" i="725"/>
  <c r="AA10" i="725"/>
  <c r="Z10" i="725"/>
  <c r="Y10" i="725"/>
  <c r="X10" i="725"/>
  <c r="W10" i="725"/>
  <c r="V10" i="725"/>
  <c r="U10" i="725"/>
  <c r="T10" i="725"/>
  <c r="S10" i="725"/>
  <c r="K39" i="724"/>
  <c r="K35" i="725" l="1"/>
  <c r="L35" i="725"/>
  <c r="M35" i="725" s="1"/>
  <c r="M25" i="724"/>
  <c r="L25" i="724"/>
  <c r="K25" i="724"/>
  <c r="K28" i="724" l="1"/>
  <c r="C11" i="724"/>
  <c r="D11" i="724"/>
  <c r="E11" i="724"/>
  <c r="F11" i="724"/>
  <c r="G11" i="724"/>
  <c r="L11" i="724"/>
  <c r="M11" i="724"/>
  <c r="O11" i="724"/>
  <c r="O10" i="724"/>
  <c r="M10" i="724"/>
  <c r="L10" i="724"/>
  <c r="G10" i="724"/>
  <c r="F10" i="724"/>
  <c r="E10" i="724"/>
  <c r="D10" i="724"/>
  <c r="C10" i="724"/>
  <c r="C16" i="724"/>
  <c r="D16" i="724"/>
  <c r="E16" i="724"/>
  <c r="F16" i="724"/>
  <c r="G16" i="724"/>
  <c r="L16" i="724"/>
  <c r="M16" i="724"/>
  <c r="O16" i="724"/>
  <c r="C17" i="724"/>
  <c r="D17" i="724"/>
  <c r="E17" i="724"/>
  <c r="F17" i="724"/>
  <c r="G17" i="724"/>
  <c r="L17" i="724"/>
  <c r="M17" i="724"/>
  <c r="O17" i="724"/>
  <c r="C18" i="724"/>
  <c r="D18" i="724"/>
  <c r="E18" i="724"/>
  <c r="F18" i="724"/>
  <c r="G18" i="724"/>
  <c r="L18" i="724"/>
  <c r="M18" i="724"/>
  <c r="O18" i="724"/>
  <c r="C19" i="724"/>
  <c r="D19" i="724"/>
  <c r="E19" i="724"/>
  <c r="F19" i="724"/>
  <c r="G19" i="724"/>
  <c r="L19" i="724"/>
  <c r="M19" i="724"/>
  <c r="O19" i="724"/>
  <c r="C20" i="724"/>
  <c r="D20" i="724"/>
  <c r="E20" i="724"/>
  <c r="F20" i="724"/>
  <c r="G20" i="724"/>
  <c r="L20" i="724"/>
  <c r="M20" i="724"/>
  <c r="O20" i="724"/>
  <c r="C37" i="724"/>
  <c r="C38" i="724"/>
  <c r="C39" i="724"/>
  <c r="C40" i="724"/>
  <c r="C43" i="724"/>
  <c r="C44" i="724"/>
  <c r="C45" i="724"/>
  <c r="C46" i="724"/>
  <c r="B43" i="724"/>
  <c r="B37" i="724"/>
  <c r="E58" i="724"/>
  <c r="N10" i="724" l="1"/>
  <c r="N11" i="724"/>
  <c r="K10" i="724"/>
  <c r="K11" i="724"/>
  <c r="G58" i="724"/>
  <c r="K58" i="724"/>
  <c r="K65" i="724" s="1"/>
  <c r="G56" i="724"/>
  <c r="K56" i="724"/>
  <c r="C58" i="724"/>
  <c r="B58" i="724"/>
  <c r="B56" i="724"/>
  <c r="K54" i="724"/>
  <c r="K62" i="724" s="1"/>
  <c r="J10" i="724" l="1"/>
  <c r="J11" i="724"/>
  <c r="I10" i="724" l="1"/>
  <c r="I11" i="724"/>
  <c r="L28" i="724" l="1"/>
  <c r="J28" i="724"/>
  <c r="M28" i="724"/>
  <c r="K16" i="724"/>
  <c r="K17" i="724"/>
  <c r="K18" i="724"/>
  <c r="K20" i="724"/>
  <c r="J17" i="724" l="1"/>
  <c r="N16" i="724"/>
  <c r="N17" i="724"/>
  <c r="N18" i="724"/>
  <c r="N19" i="724"/>
  <c r="N20" i="724"/>
  <c r="J20" i="724" l="1"/>
  <c r="I19" i="724"/>
  <c r="J16" i="724"/>
  <c r="I16" i="724"/>
  <c r="J18" i="724"/>
  <c r="J19" i="724"/>
  <c r="I20" i="724"/>
  <c r="I18" i="724"/>
  <c r="I17" i="724"/>
  <c r="J25" i="724" l="1"/>
  <c r="G54" i="724"/>
  <c r="F67" i="724"/>
  <c r="AY57" i="724"/>
  <c r="AX57" i="724"/>
  <c r="AW57" i="724"/>
  <c r="AV57" i="724"/>
  <c r="AU57" i="724"/>
  <c r="AT57" i="724"/>
  <c r="AS57" i="724"/>
  <c r="AR57" i="724"/>
  <c r="AQ57" i="724"/>
  <c r="AP57" i="724"/>
  <c r="AO57" i="724"/>
  <c r="AN57" i="724"/>
  <c r="AM57" i="724"/>
  <c r="AL57" i="724"/>
  <c r="AK57" i="724"/>
  <c r="AJ57" i="724"/>
  <c r="AI57" i="724"/>
  <c r="AH57" i="724"/>
  <c r="AG57" i="724"/>
  <c r="AF57" i="724"/>
  <c r="AE57" i="724"/>
  <c r="AD57" i="724"/>
  <c r="AC57" i="724"/>
  <c r="AB57" i="724"/>
  <c r="AA57" i="724"/>
  <c r="Z57" i="724"/>
  <c r="Y57" i="724"/>
  <c r="X57" i="724"/>
  <c r="W57" i="724"/>
  <c r="V57" i="724"/>
  <c r="U57" i="724"/>
  <c r="K49" i="724"/>
  <c r="D47" i="724"/>
  <c r="M32" i="724"/>
  <c r="M31" i="724"/>
  <c r="L31" i="724"/>
  <c r="K31" i="724"/>
  <c r="C31" i="724"/>
  <c r="M30" i="724"/>
  <c r="C30" i="724"/>
  <c r="C29" i="724"/>
  <c r="C28" i="724"/>
  <c r="M27" i="724"/>
  <c r="L27" i="724"/>
  <c r="K27" i="724"/>
  <c r="C27" i="724"/>
  <c r="M26" i="724"/>
  <c r="L26" i="724"/>
  <c r="K26" i="724"/>
  <c r="C26" i="724"/>
  <c r="C25" i="724"/>
  <c r="B25" i="724"/>
  <c r="AA24" i="724"/>
  <c r="Z24" i="724"/>
  <c r="Y24" i="724"/>
  <c r="X24" i="724"/>
  <c r="W24" i="724"/>
  <c r="V24" i="724"/>
  <c r="U24" i="724"/>
  <c r="T24" i="724"/>
  <c r="S24" i="724"/>
  <c r="AA23" i="724"/>
  <c r="Z23" i="724"/>
  <c r="Y23" i="724"/>
  <c r="X23" i="724"/>
  <c r="W23" i="724"/>
  <c r="V23" i="724"/>
  <c r="U23" i="724"/>
  <c r="T23" i="724"/>
  <c r="S23" i="724"/>
  <c r="AA22" i="724"/>
  <c r="Z22" i="724"/>
  <c r="Y22" i="724"/>
  <c r="X22" i="724"/>
  <c r="W22" i="724"/>
  <c r="V22" i="724"/>
  <c r="U22" i="724"/>
  <c r="T22" i="724"/>
  <c r="S22" i="724"/>
  <c r="AA21" i="724"/>
  <c r="Z21" i="724"/>
  <c r="Y21" i="724"/>
  <c r="X21" i="724"/>
  <c r="W21" i="724"/>
  <c r="V21" i="724"/>
  <c r="U21" i="724"/>
  <c r="T21" i="724"/>
  <c r="S21" i="724"/>
  <c r="AA20" i="724"/>
  <c r="Z20" i="724"/>
  <c r="Y20" i="724"/>
  <c r="X20" i="724"/>
  <c r="W20" i="724"/>
  <c r="V20" i="724"/>
  <c r="U20" i="724"/>
  <c r="T20" i="724"/>
  <c r="S20" i="724"/>
  <c r="AA19" i="724"/>
  <c r="Z19" i="724"/>
  <c r="Y19" i="724"/>
  <c r="X19" i="724"/>
  <c r="W19" i="724"/>
  <c r="V19" i="724"/>
  <c r="U19" i="724"/>
  <c r="T19" i="724"/>
  <c r="S19" i="724"/>
  <c r="AA18" i="724"/>
  <c r="Z18" i="724"/>
  <c r="Y18" i="724"/>
  <c r="X18" i="724"/>
  <c r="W18" i="724"/>
  <c r="V18" i="724"/>
  <c r="U18" i="724"/>
  <c r="T18" i="724"/>
  <c r="S18" i="724"/>
  <c r="AA17" i="724"/>
  <c r="Z17" i="724"/>
  <c r="Y17" i="724"/>
  <c r="X17" i="724"/>
  <c r="W17" i="724"/>
  <c r="V17" i="724"/>
  <c r="U17" i="724"/>
  <c r="T17" i="724"/>
  <c r="S17" i="724"/>
  <c r="AA15" i="724"/>
  <c r="Z15" i="724"/>
  <c r="Y15" i="724"/>
  <c r="X15" i="724"/>
  <c r="W15" i="724"/>
  <c r="V15" i="724"/>
  <c r="U15" i="724"/>
  <c r="T15" i="724"/>
  <c r="S15" i="724"/>
  <c r="AA14" i="724"/>
  <c r="Z14" i="724"/>
  <c r="Y14" i="724"/>
  <c r="X14" i="724"/>
  <c r="W14" i="724"/>
  <c r="V14" i="724"/>
  <c r="U14" i="724"/>
  <c r="T14" i="724"/>
  <c r="S14" i="724"/>
  <c r="AA13" i="724"/>
  <c r="Z13" i="724"/>
  <c r="Y13" i="724"/>
  <c r="X13" i="724"/>
  <c r="W13" i="724"/>
  <c r="V13" i="724"/>
  <c r="U13" i="724"/>
  <c r="T13" i="724"/>
  <c r="S13" i="724"/>
  <c r="AA12" i="724"/>
  <c r="Z12" i="724"/>
  <c r="Y12" i="724"/>
  <c r="X12" i="724"/>
  <c r="W12" i="724"/>
  <c r="V12" i="724"/>
  <c r="U12" i="724"/>
  <c r="T12" i="724"/>
  <c r="S12" i="724"/>
  <c r="AA11" i="724"/>
  <c r="Z11" i="724"/>
  <c r="Y11" i="724"/>
  <c r="X11" i="724"/>
  <c r="W11" i="724"/>
  <c r="V11" i="724"/>
  <c r="U11" i="724"/>
  <c r="T11" i="724"/>
  <c r="S11" i="724"/>
  <c r="AA10" i="724"/>
  <c r="Z10" i="724"/>
  <c r="Y10" i="724"/>
  <c r="X10" i="724"/>
  <c r="W10" i="724"/>
  <c r="V10" i="724"/>
  <c r="U10" i="724"/>
  <c r="T10" i="724"/>
  <c r="S10" i="724"/>
  <c r="K35" i="724" l="1"/>
  <c r="L35" i="724" s="1"/>
  <c r="M35" i="724" s="1"/>
  <c r="M28" i="723"/>
  <c r="L28" i="723"/>
  <c r="K28" i="723"/>
  <c r="C19" i="723"/>
  <c r="D19" i="723"/>
  <c r="E19" i="723"/>
  <c r="F19" i="723"/>
  <c r="G19" i="723"/>
  <c r="K19" i="723"/>
  <c r="L19" i="723"/>
  <c r="M19" i="723"/>
  <c r="N19" i="723"/>
  <c r="O19" i="723"/>
  <c r="O18" i="723"/>
  <c r="N18" i="723"/>
  <c r="M18" i="723"/>
  <c r="L18" i="723"/>
  <c r="K18" i="723"/>
  <c r="G18" i="723"/>
  <c r="F18" i="723"/>
  <c r="E18" i="723"/>
  <c r="D18" i="723"/>
  <c r="C18" i="723"/>
  <c r="K54" i="723" l="1"/>
  <c r="K60" i="723" s="1"/>
  <c r="G54" i="723"/>
  <c r="C25" i="723"/>
  <c r="C26" i="723"/>
  <c r="C27" i="723"/>
  <c r="C28" i="723"/>
  <c r="C29" i="723"/>
  <c r="C30" i="723"/>
  <c r="C31" i="723"/>
  <c r="K25" i="723"/>
  <c r="C11" i="723"/>
  <c r="D11" i="723"/>
  <c r="E11" i="723"/>
  <c r="F11" i="723"/>
  <c r="G11" i="723"/>
  <c r="L11" i="723"/>
  <c r="M11" i="723"/>
  <c r="N11" i="723"/>
  <c r="O11" i="723"/>
  <c r="C12" i="723"/>
  <c r="D12" i="723"/>
  <c r="E12" i="723"/>
  <c r="F12" i="723"/>
  <c r="G12" i="723"/>
  <c r="K12" i="723"/>
  <c r="L12" i="723"/>
  <c r="M12" i="723"/>
  <c r="N12" i="723"/>
  <c r="O12" i="723"/>
  <c r="C13" i="723"/>
  <c r="D13" i="723"/>
  <c r="E13" i="723"/>
  <c r="F13" i="723"/>
  <c r="G13" i="723"/>
  <c r="I13" i="723"/>
  <c r="J13" i="723"/>
  <c r="K13" i="723"/>
  <c r="L13" i="723"/>
  <c r="M13" i="723"/>
  <c r="N13" i="723"/>
  <c r="O13" i="723"/>
  <c r="C14" i="723"/>
  <c r="D14" i="723"/>
  <c r="E14" i="723"/>
  <c r="F14" i="723"/>
  <c r="G14" i="723"/>
  <c r="I14" i="723"/>
  <c r="J14" i="723"/>
  <c r="K14" i="723"/>
  <c r="L14" i="723"/>
  <c r="M14" i="723"/>
  <c r="N14" i="723"/>
  <c r="O14" i="723"/>
  <c r="C15" i="723"/>
  <c r="D15" i="723"/>
  <c r="E15" i="723"/>
  <c r="F15" i="723"/>
  <c r="G15" i="723"/>
  <c r="I15" i="723"/>
  <c r="J15" i="723"/>
  <c r="K15" i="723"/>
  <c r="L15" i="723"/>
  <c r="M15" i="723"/>
  <c r="N15" i="723"/>
  <c r="O15" i="723"/>
  <c r="O10" i="723"/>
  <c r="N10" i="723"/>
  <c r="M10" i="723"/>
  <c r="L10" i="723"/>
  <c r="K10" i="723"/>
  <c r="J10" i="723"/>
  <c r="I10" i="723"/>
  <c r="G10" i="723"/>
  <c r="F10" i="723"/>
  <c r="E10" i="723"/>
  <c r="D10" i="723"/>
  <c r="C10" i="723"/>
  <c r="F65" i="723"/>
  <c r="AY55" i="723"/>
  <c r="AX55" i="723"/>
  <c r="AW55" i="723"/>
  <c r="AV55" i="723"/>
  <c r="AU55" i="723"/>
  <c r="AT55" i="723"/>
  <c r="AS55" i="723"/>
  <c r="AR55" i="723"/>
  <c r="AQ55" i="723"/>
  <c r="AP55" i="723"/>
  <c r="AO55" i="723"/>
  <c r="AN55" i="723"/>
  <c r="AM55" i="723"/>
  <c r="AL55" i="723"/>
  <c r="AK55" i="723"/>
  <c r="AJ55" i="723"/>
  <c r="AI55" i="723"/>
  <c r="AH55" i="723"/>
  <c r="AG55" i="723"/>
  <c r="AF55" i="723"/>
  <c r="AE55" i="723"/>
  <c r="AD55" i="723"/>
  <c r="AC55" i="723"/>
  <c r="AB55" i="723"/>
  <c r="AA55" i="723"/>
  <c r="Z55" i="723"/>
  <c r="Y55" i="723"/>
  <c r="X55" i="723"/>
  <c r="W55" i="723"/>
  <c r="V55" i="723"/>
  <c r="U55" i="723"/>
  <c r="D47" i="723"/>
  <c r="K49" i="723"/>
  <c r="M32" i="723"/>
  <c r="M31" i="723"/>
  <c r="L31" i="723"/>
  <c r="K31" i="723"/>
  <c r="M30" i="723"/>
  <c r="M27" i="723"/>
  <c r="L27" i="723"/>
  <c r="K27" i="723"/>
  <c r="M26" i="723"/>
  <c r="L26" i="723"/>
  <c r="K26" i="723"/>
  <c r="B25" i="723"/>
  <c r="AA24" i="723"/>
  <c r="Z24" i="723"/>
  <c r="Y24" i="723"/>
  <c r="X24" i="723"/>
  <c r="W24" i="723"/>
  <c r="V24" i="723"/>
  <c r="U24" i="723"/>
  <c r="T24" i="723"/>
  <c r="S24" i="723"/>
  <c r="AA23" i="723"/>
  <c r="Z23" i="723"/>
  <c r="Y23" i="723"/>
  <c r="X23" i="723"/>
  <c r="W23" i="723"/>
  <c r="V23" i="723"/>
  <c r="U23" i="723"/>
  <c r="T23" i="723"/>
  <c r="S23" i="723"/>
  <c r="AA22" i="723"/>
  <c r="Z22" i="723"/>
  <c r="Y22" i="723"/>
  <c r="X22" i="723"/>
  <c r="W22" i="723"/>
  <c r="V22" i="723"/>
  <c r="U22" i="723"/>
  <c r="T22" i="723"/>
  <c r="S22" i="723"/>
  <c r="AA21" i="723"/>
  <c r="Z21" i="723"/>
  <c r="Y21" i="723"/>
  <c r="X21" i="723"/>
  <c r="W21" i="723"/>
  <c r="V21" i="723"/>
  <c r="U21" i="723"/>
  <c r="T21" i="723"/>
  <c r="S21" i="723"/>
  <c r="AA20" i="723"/>
  <c r="Z20" i="723"/>
  <c r="Y20" i="723"/>
  <c r="X20" i="723"/>
  <c r="W20" i="723"/>
  <c r="V20" i="723"/>
  <c r="U20" i="723"/>
  <c r="T20" i="723"/>
  <c r="S20" i="723"/>
  <c r="AA19" i="723"/>
  <c r="Z19" i="723"/>
  <c r="Y19" i="723"/>
  <c r="X19" i="723"/>
  <c r="W19" i="723"/>
  <c r="V19" i="723"/>
  <c r="U19" i="723"/>
  <c r="T19" i="723"/>
  <c r="S19" i="723"/>
  <c r="AA18" i="723"/>
  <c r="Z18" i="723"/>
  <c r="Y18" i="723"/>
  <c r="X18" i="723"/>
  <c r="W18" i="723"/>
  <c r="V18" i="723"/>
  <c r="U18" i="723"/>
  <c r="T18" i="723"/>
  <c r="S18" i="723"/>
  <c r="AA17" i="723"/>
  <c r="Z17" i="723"/>
  <c r="Y17" i="723"/>
  <c r="X17" i="723"/>
  <c r="W17" i="723"/>
  <c r="V17" i="723"/>
  <c r="U17" i="723"/>
  <c r="T17" i="723"/>
  <c r="S17" i="723"/>
  <c r="AA15" i="723"/>
  <c r="Z15" i="723"/>
  <c r="Y15" i="723"/>
  <c r="X15" i="723"/>
  <c r="W15" i="723"/>
  <c r="V15" i="723"/>
  <c r="U15" i="723"/>
  <c r="T15" i="723"/>
  <c r="S15" i="723"/>
  <c r="AA14" i="723"/>
  <c r="Z14" i="723"/>
  <c r="Y14" i="723"/>
  <c r="X14" i="723"/>
  <c r="W14" i="723"/>
  <c r="V14" i="723"/>
  <c r="U14" i="723"/>
  <c r="T14" i="723"/>
  <c r="S14" i="723"/>
  <c r="AA13" i="723"/>
  <c r="Z13" i="723"/>
  <c r="Y13" i="723"/>
  <c r="X13" i="723"/>
  <c r="W13" i="723"/>
  <c r="V13" i="723"/>
  <c r="U13" i="723"/>
  <c r="T13" i="723"/>
  <c r="S13" i="723"/>
  <c r="AA12" i="723"/>
  <c r="Z12" i="723"/>
  <c r="Y12" i="723"/>
  <c r="X12" i="723"/>
  <c r="W12" i="723"/>
  <c r="V12" i="723"/>
  <c r="U12" i="723"/>
  <c r="T12" i="723"/>
  <c r="S12" i="723"/>
  <c r="AA11" i="723"/>
  <c r="Z11" i="723"/>
  <c r="Y11" i="723"/>
  <c r="X11" i="723"/>
  <c r="W11" i="723"/>
  <c r="V11" i="723"/>
  <c r="U11" i="723"/>
  <c r="T11" i="723"/>
  <c r="S11" i="723"/>
  <c r="AA10" i="723"/>
  <c r="Z10" i="723"/>
  <c r="Y10" i="723"/>
  <c r="X10" i="723"/>
  <c r="W10" i="723"/>
  <c r="V10" i="723"/>
  <c r="U10" i="723"/>
  <c r="T10" i="723"/>
  <c r="S10" i="723"/>
  <c r="K35" i="723" l="1"/>
  <c r="G56" i="722"/>
  <c r="K56" i="722"/>
  <c r="K61" i="722" s="1"/>
  <c r="C37" i="722" a="1"/>
  <c r="C37" i="722" s="1"/>
  <c r="B56" i="722" l="1"/>
  <c r="K39" i="722"/>
  <c r="K25" i="722"/>
  <c r="O17" i="722"/>
  <c r="N17" i="722"/>
  <c r="M17" i="722"/>
  <c r="L17" i="722"/>
  <c r="K17" i="722"/>
  <c r="J17" i="722"/>
  <c r="I17" i="722"/>
  <c r="G17" i="722"/>
  <c r="F17" i="722"/>
  <c r="E17" i="722"/>
  <c r="D17" i="722"/>
  <c r="C17" i="722"/>
  <c r="B37" i="722"/>
  <c r="B25" i="722"/>
  <c r="C30" i="722"/>
  <c r="C25" i="722" a="1"/>
  <c r="C25" i="722" s="1"/>
  <c r="K54" i="722"/>
  <c r="K60" i="722" s="1"/>
  <c r="G54" i="722" l="1"/>
  <c r="C10" i="722"/>
  <c r="D10" i="722"/>
  <c r="E10" i="722"/>
  <c r="F10" i="722"/>
  <c r="G10" i="722"/>
  <c r="I10" i="722"/>
  <c r="J10" i="722"/>
  <c r="K10" i="722"/>
  <c r="L10" i="722"/>
  <c r="M10" i="722"/>
  <c r="N10" i="722"/>
  <c r="O10" i="722"/>
  <c r="C11" i="722"/>
  <c r="D11" i="722"/>
  <c r="E11" i="722"/>
  <c r="F11" i="722"/>
  <c r="G11" i="722"/>
  <c r="I11" i="722"/>
  <c r="J11" i="722"/>
  <c r="K11" i="722"/>
  <c r="L11" i="722"/>
  <c r="M11" i="722"/>
  <c r="N11" i="722"/>
  <c r="O11" i="722"/>
  <c r="C12" i="722"/>
  <c r="D12" i="722"/>
  <c r="E12" i="722"/>
  <c r="F12" i="722"/>
  <c r="G12" i="722"/>
  <c r="I12" i="722"/>
  <c r="J12" i="722"/>
  <c r="K12" i="722"/>
  <c r="L12" i="722"/>
  <c r="M12" i="722"/>
  <c r="N12" i="722"/>
  <c r="O12" i="722"/>
  <c r="C13" i="722"/>
  <c r="D13" i="722"/>
  <c r="E13" i="722"/>
  <c r="F13" i="722"/>
  <c r="G13" i="722"/>
  <c r="I13" i="722"/>
  <c r="J13" i="722"/>
  <c r="K13" i="722"/>
  <c r="L13" i="722"/>
  <c r="M13" i="722"/>
  <c r="N13" i="722"/>
  <c r="O13" i="722"/>
  <c r="C14" i="722"/>
  <c r="D14" i="722"/>
  <c r="E14" i="722"/>
  <c r="F14" i="722"/>
  <c r="G14" i="722"/>
  <c r="I14" i="722"/>
  <c r="J14" i="722"/>
  <c r="K14" i="722"/>
  <c r="L14" i="722"/>
  <c r="M14" i="722"/>
  <c r="N14" i="722"/>
  <c r="O14" i="722"/>
  <c r="C15" i="722"/>
  <c r="D15" i="722"/>
  <c r="E15" i="722"/>
  <c r="F15" i="722"/>
  <c r="G15" i="722"/>
  <c r="I15" i="722"/>
  <c r="J15" i="722"/>
  <c r="K15" i="722"/>
  <c r="L15" i="722"/>
  <c r="M15" i="722"/>
  <c r="N15" i="722"/>
  <c r="O15" i="722"/>
  <c r="F65" i="722"/>
  <c r="AY55" i="722"/>
  <c r="AX55" i="722"/>
  <c r="AW55" i="722"/>
  <c r="AV55" i="722"/>
  <c r="AU55" i="722"/>
  <c r="AT55" i="722"/>
  <c r="AS55" i="722"/>
  <c r="AR55" i="722"/>
  <c r="AQ55" i="722"/>
  <c r="AP55" i="722"/>
  <c r="AO55" i="722"/>
  <c r="AN55" i="722"/>
  <c r="AM55" i="722"/>
  <c r="AL55" i="722"/>
  <c r="AK55" i="722"/>
  <c r="AJ55" i="722"/>
  <c r="AI55" i="722"/>
  <c r="AH55" i="722"/>
  <c r="AG55" i="722"/>
  <c r="AF55" i="722"/>
  <c r="AE55" i="722"/>
  <c r="AD55" i="722"/>
  <c r="AC55" i="722"/>
  <c r="AB55" i="722"/>
  <c r="AA55" i="722"/>
  <c r="Z55" i="722"/>
  <c r="Y55" i="722"/>
  <c r="X55" i="722"/>
  <c r="W55" i="722"/>
  <c r="V55" i="722"/>
  <c r="U55" i="722"/>
  <c r="D47" i="722"/>
  <c r="K49" i="722"/>
  <c r="M32" i="722"/>
  <c r="M31" i="722"/>
  <c r="L31" i="722"/>
  <c r="K31" i="722"/>
  <c r="M30" i="722"/>
  <c r="M28" i="722"/>
  <c r="M27" i="722"/>
  <c r="L27" i="722"/>
  <c r="K27" i="722"/>
  <c r="K26" i="722"/>
  <c r="AA24" i="722"/>
  <c r="Z24" i="722"/>
  <c r="Y24" i="722"/>
  <c r="X24" i="722"/>
  <c r="W24" i="722"/>
  <c r="V24" i="722"/>
  <c r="U24" i="722"/>
  <c r="T24" i="722"/>
  <c r="S24" i="722"/>
  <c r="AA23" i="722"/>
  <c r="Z23" i="722"/>
  <c r="Y23" i="722"/>
  <c r="X23" i="722"/>
  <c r="W23" i="722"/>
  <c r="V23" i="722"/>
  <c r="U23" i="722"/>
  <c r="T23" i="722"/>
  <c r="S23" i="722"/>
  <c r="AA22" i="722"/>
  <c r="Z22" i="722"/>
  <c r="Y22" i="722"/>
  <c r="X22" i="722"/>
  <c r="W22" i="722"/>
  <c r="V22" i="722"/>
  <c r="U22" i="722"/>
  <c r="T22" i="722"/>
  <c r="S22" i="722"/>
  <c r="AA21" i="722"/>
  <c r="Z21" i="722"/>
  <c r="Y21" i="722"/>
  <c r="X21" i="722"/>
  <c r="W21" i="722"/>
  <c r="V21" i="722"/>
  <c r="U21" i="722"/>
  <c r="T21" i="722"/>
  <c r="S21" i="722"/>
  <c r="AA20" i="722"/>
  <c r="Z20" i="722"/>
  <c r="Y20" i="722"/>
  <c r="X20" i="722"/>
  <c r="W20" i="722"/>
  <c r="V20" i="722"/>
  <c r="U20" i="722"/>
  <c r="T20" i="722"/>
  <c r="S20" i="722"/>
  <c r="AA19" i="722"/>
  <c r="Z19" i="722"/>
  <c r="Y19" i="722"/>
  <c r="X19" i="722"/>
  <c r="W19" i="722"/>
  <c r="V19" i="722"/>
  <c r="U19" i="722"/>
  <c r="T19" i="722"/>
  <c r="S19" i="722"/>
  <c r="AA18" i="722"/>
  <c r="Z18" i="722"/>
  <c r="Y18" i="722"/>
  <c r="X18" i="722"/>
  <c r="W18" i="722"/>
  <c r="V18" i="722"/>
  <c r="U18" i="722"/>
  <c r="T18" i="722"/>
  <c r="S18" i="722"/>
  <c r="AA17" i="722"/>
  <c r="Z17" i="722"/>
  <c r="Y17" i="722"/>
  <c r="X17" i="722"/>
  <c r="W17" i="722"/>
  <c r="V17" i="722"/>
  <c r="U17" i="722"/>
  <c r="T17" i="722"/>
  <c r="S17" i="722"/>
  <c r="AA15" i="722"/>
  <c r="Z15" i="722"/>
  <c r="Y15" i="722"/>
  <c r="X15" i="722"/>
  <c r="W15" i="722"/>
  <c r="V15" i="722"/>
  <c r="U15" i="722"/>
  <c r="T15" i="722"/>
  <c r="S15" i="722"/>
  <c r="AA14" i="722"/>
  <c r="Z14" i="722"/>
  <c r="Y14" i="722"/>
  <c r="X14" i="722"/>
  <c r="W14" i="722"/>
  <c r="V14" i="722"/>
  <c r="U14" i="722"/>
  <c r="T14" i="722"/>
  <c r="S14" i="722"/>
  <c r="AA13" i="722"/>
  <c r="Z13" i="722"/>
  <c r="Y13" i="722"/>
  <c r="X13" i="722"/>
  <c r="W13" i="722"/>
  <c r="V13" i="722"/>
  <c r="U13" i="722"/>
  <c r="T13" i="722"/>
  <c r="S13" i="722"/>
  <c r="AA12" i="722"/>
  <c r="Z12" i="722"/>
  <c r="Y12" i="722"/>
  <c r="X12" i="722"/>
  <c r="W12" i="722"/>
  <c r="V12" i="722"/>
  <c r="U12" i="722"/>
  <c r="T12" i="722"/>
  <c r="S12" i="722"/>
  <c r="AA11" i="722"/>
  <c r="Z11" i="722"/>
  <c r="Y11" i="722"/>
  <c r="X11" i="722"/>
  <c r="W11" i="722"/>
  <c r="V11" i="722"/>
  <c r="U11" i="722"/>
  <c r="T11" i="722"/>
  <c r="S11" i="722"/>
  <c r="AA10" i="722"/>
  <c r="Z10" i="722"/>
  <c r="Y10" i="722"/>
  <c r="X10" i="722"/>
  <c r="W10" i="722"/>
  <c r="V10" i="722"/>
  <c r="U10" i="722"/>
  <c r="T10" i="722"/>
  <c r="S10" i="722"/>
  <c r="K26" i="721"/>
  <c r="K40" i="721"/>
  <c r="S10" i="721"/>
  <c r="T10" i="721"/>
  <c r="U10" i="721"/>
  <c r="V10" i="721"/>
  <c r="W10" i="721"/>
  <c r="X10" i="721"/>
  <c r="Y10" i="721"/>
  <c r="Z10" i="721"/>
  <c r="AA10" i="721"/>
  <c r="S11" i="721"/>
  <c r="T11" i="721"/>
  <c r="U11" i="721"/>
  <c r="V11" i="721"/>
  <c r="W11" i="721"/>
  <c r="X11" i="721"/>
  <c r="Y11" i="721"/>
  <c r="Z11" i="721"/>
  <c r="AA11" i="721"/>
  <c r="S12" i="721"/>
  <c r="T12" i="721"/>
  <c r="U12" i="721"/>
  <c r="V12" i="721"/>
  <c r="W12" i="721"/>
  <c r="X12" i="721"/>
  <c r="Y12" i="721"/>
  <c r="Z12" i="721"/>
  <c r="AA12" i="721"/>
  <c r="S13" i="721"/>
  <c r="T13" i="721"/>
  <c r="U13" i="721"/>
  <c r="V13" i="721"/>
  <c r="W13" i="721"/>
  <c r="X13" i="721"/>
  <c r="Y13" i="721"/>
  <c r="Z13" i="721"/>
  <c r="AA13" i="721"/>
  <c r="S14" i="721"/>
  <c r="T14" i="721"/>
  <c r="U14" i="721"/>
  <c r="V14" i="721"/>
  <c r="W14" i="721"/>
  <c r="X14" i="721"/>
  <c r="Y14" i="721"/>
  <c r="Z14" i="721"/>
  <c r="AA14" i="721"/>
  <c r="S15" i="721"/>
  <c r="T15" i="721"/>
  <c r="U15" i="721"/>
  <c r="V15" i="721"/>
  <c r="W15" i="721"/>
  <c r="X15" i="721"/>
  <c r="Y15" i="721"/>
  <c r="Z15" i="721"/>
  <c r="AA15" i="721"/>
  <c r="S16" i="721"/>
  <c r="T16" i="721"/>
  <c r="U16" i="721"/>
  <c r="V16" i="721"/>
  <c r="W16" i="721"/>
  <c r="X16" i="721"/>
  <c r="Y16" i="721"/>
  <c r="Z16" i="721"/>
  <c r="AA16" i="721"/>
  <c r="S17" i="721"/>
  <c r="T17" i="721"/>
  <c r="U17" i="721"/>
  <c r="V17" i="721"/>
  <c r="W17" i="721"/>
  <c r="X17" i="721"/>
  <c r="Y17" i="721"/>
  <c r="Z17" i="721"/>
  <c r="AA17" i="721"/>
  <c r="S18" i="721"/>
  <c r="T18" i="721"/>
  <c r="U18" i="721"/>
  <c r="V18" i="721"/>
  <c r="W18" i="721"/>
  <c r="X18" i="721"/>
  <c r="Y18" i="721"/>
  <c r="Z18" i="721"/>
  <c r="AA18" i="721"/>
  <c r="C16" i="721"/>
  <c r="D16" i="721"/>
  <c r="E16" i="721"/>
  <c r="F16" i="721"/>
  <c r="G16" i="721"/>
  <c r="I16" i="721"/>
  <c r="J16" i="721"/>
  <c r="L16" i="721"/>
  <c r="M16" i="721"/>
  <c r="N16" i="721"/>
  <c r="O16" i="721"/>
  <c r="C17" i="721"/>
  <c r="D17" i="721"/>
  <c r="E17" i="721"/>
  <c r="F17" i="721"/>
  <c r="G17" i="721"/>
  <c r="I17" i="721"/>
  <c r="J17" i="721"/>
  <c r="L17" i="721"/>
  <c r="M17" i="721"/>
  <c r="N17" i="721"/>
  <c r="O17" i="721"/>
  <c r="C10" i="721"/>
  <c r="D10" i="721"/>
  <c r="E10" i="721"/>
  <c r="F10" i="721"/>
  <c r="G10" i="721"/>
  <c r="I10" i="721"/>
  <c r="J10" i="721"/>
  <c r="L10" i="721"/>
  <c r="M10" i="721"/>
  <c r="N10" i="721"/>
  <c r="O10" i="721"/>
  <c r="C11" i="721"/>
  <c r="D11" i="721"/>
  <c r="E11" i="721"/>
  <c r="F11" i="721"/>
  <c r="G11" i="721"/>
  <c r="I11" i="721"/>
  <c r="J11" i="721"/>
  <c r="L11" i="721"/>
  <c r="M11" i="721"/>
  <c r="N11" i="721"/>
  <c r="O11" i="721"/>
  <c r="C12" i="721"/>
  <c r="D12" i="721"/>
  <c r="E12" i="721"/>
  <c r="F12" i="721"/>
  <c r="G12" i="721"/>
  <c r="I12" i="721"/>
  <c r="J12" i="721"/>
  <c r="L12" i="721"/>
  <c r="M12" i="721"/>
  <c r="N12" i="721"/>
  <c r="O12" i="721"/>
  <c r="C13" i="721"/>
  <c r="D13" i="721"/>
  <c r="E13" i="721"/>
  <c r="F13" i="721"/>
  <c r="G13" i="721"/>
  <c r="I13" i="721"/>
  <c r="J13" i="721"/>
  <c r="L13" i="721"/>
  <c r="M13" i="721"/>
  <c r="N13" i="721"/>
  <c r="O13" i="721"/>
  <c r="C14" i="721"/>
  <c r="D14" i="721"/>
  <c r="E14" i="721"/>
  <c r="F14" i="721"/>
  <c r="G14" i="721"/>
  <c r="I14" i="721"/>
  <c r="J14" i="721"/>
  <c r="L14" i="721"/>
  <c r="M14" i="721"/>
  <c r="N14" i="721"/>
  <c r="O14" i="721"/>
  <c r="C15" i="721"/>
  <c r="D15" i="721"/>
  <c r="E15" i="721"/>
  <c r="F15" i="721"/>
  <c r="G15" i="721"/>
  <c r="I15" i="721"/>
  <c r="J15" i="721"/>
  <c r="L15" i="721"/>
  <c r="M15" i="721"/>
  <c r="N15" i="721"/>
  <c r="O15" i="721"/>
  <c r="F65" i="721"/>
  <c r="AY55" i="721"/>
  <c r="AX55" i="721"/>
  <c r="AW55" i="721"/>
  <c r="AV55" i="721"/>
  <c r="AU55" i="721"/>
  <c r="AT55" i="721"/>
  <c r="AS55" i="721"/>
  <c r="AR55" i="721"/>
  <c r="AQ55" i="721"/>
  <c r="AP55" i="721"/>
  <c r="AO55" i="721"/>
  <c r="AN55" i="721"/>
  <c r="AM55" i="721"/>
  <c r="AL55" i="721"/>
  <c r="AK55" i="721"/>
  <c r="AJ55" i="721"/>
  <c r="AI55" i="721"/>
  <c r="AH55" i="721"/>
  <c r="AG55" i="721"/>
  <c r="AF55" i="721"/>
  <c r="AE55" i="721"/>
  <c r="AD55" i="721"/>
  <c r="AC55" i="721"/>
  <c r="AB55" i="721"/>
  <c r="AA55" i="721"/>
  <c r="Z55" i="721"/>
  <c r="Y55" i="721"/>
  <c r="X55" i="721"/>
  <c r="W55" i="721"/>
  <c r="V55" i="721"/>
  <c r="U55" i="721"/>
  <c r="D47" i="721"/>
  <c r="K49" i="721"/>
  <c r="M32" i="721"/>
  <c r="M31" i="721"/>
  <c r="L31" i="721"/>
  <c r="K31" i="721"/>
  <c r="M30" i="721"/>
  <c r="M28" i="721"/>
  <c r="M27" i="721"/>
  <c r="L27" i="721"/>
  <c r="K27" i="721"/>
  <c r="K25" i="721"/>
  <c r="AA24" i="721"/>
  <c r="Z24" i="721"/>
  <c r="Y24" i="721"/>
  <c r="X24" i="721"/>
  <c r="W24" i="721"/>
  <c r="V24" i="721"/>
  <c r="U24" i="721"/>
  <c r="T24" i="721"/>
  <c r="S24" i="721"/>
  <c r="AA23" i="721"/>
  <c r="Z23" i="721"/>
  <c r="Y23" i="721"/>
  <c r="X23" i="721"/>
  <c r="W23" i="721"/>
  <c r="V23" i="721"/>
  <c r="U23" i="721"/>
  <c r="T23" i="721"/>
  <c r="S23" i="721"/>
  <c r="AA22" i="721"/>
  <c r="Z22" i="721"/>
  <c r="Y22" i="721"/>
  <c r="X22" i="721"/>
  <c r="W22" i="721"/>
  <c r="V22" i="721"/>
  <c r="U22" i="721"/>
  <c r="T22" i="721"/>
  <c r="S22" i="721"/>
  <c r="AA21" i="721"/>
  <c r="Z21" i="721"/>
  <c r="Y21" i="721"/>
  <c r="X21" i="721"/>
  <c r="W21" i="721"/>
  <c r="V21" i="721"/>
  <c r="U21" i="721"/>
  <c r="T21" i="721"/>
  <c r="S21" i="721"/>
  <c r="AA20" i="721"/>
  <c r="Z20" i="721"/>
  <c r="Y20" i="721"/>
  <c r="X20" i="721"/>
  <c r="W20" i="721"/>
  <c r="V20" i="721"/>
  <c r="U20" i="721"/>
  <c r="T20" i="721"/>
  <c r="S20" i="721"/>
  <c r="AA19" i="721"/>
  <c r="Z19" i="721"/>
  <c r="Y19" i="721"/>
  <c r="X19" i="721"/>
  <c r="W19" i="721"/>
  <c r="V19" i="721"/>
  <c r="U19" i="721"/>
  <c r="T19" i="721"/>
  <c r="S19" i="721"/>
  <c r="K34" i="720"/>
  <c r="J25" i="722" l="1"/>
  <c r="J26" i="721"/>
  <c r="K35" i="722"/>
  <c r="K35" i="721"/>
  <c r="K20" i="720"/>
  <c r="C10" i="720" l="1"/>
  <c r="D10" i="720"/>
  <c r="E10" i="720"/>
  <c r="F10" i="720"/>
  <c r="G10" i="720"/>
  <c r="K10" i="720"/>
  <c r="L10" i="720"/>
  <c r="M10" i="720"/>
  <c r="N10" i="720"/>
  <c r="O10" i="720"/>
  <c r="K49" i="720"/>
  <c r="G49" i="720"/>
  <c r="B49" i="720"/>
  <c r="B20" i="720"/>
  <c r="C20" i="720" a="1"/>
  <c r="C20" i="720" s="1"/>
  <c r="F60" i="720"/>
  <c r="AY50" i="720"/>
  <c r="AX50" i="720"/>
  <c r="AW50" i="720"/>
  <c r="AV50" i="720"/>
  <c r="AU50" i="720"/>
  <c r="AT50" i="720"/>
  <c r="AS50" i="720"/>
  <c r="AR50" i="720"/>
  <c r="AQ50" i="720"/>
  <c r="AP50" i="720"/>
  <c r="AO50" i="720"/>
  <c r="AN50" i="720"/>
  <c r="AM50" i="720"/>
  <c r="AL50" i="720"/>
  <c r="AK50" i="720"/>
  <c r="AJ50" i="720"/>
  <c r="AI50" i="720"/>
  <c r="AH50" i="720"/>
  <c r="AG50" i="720"/>
  <c r="AF50" i="720"/>
  <c r="AE50" i="720"/>
  <c r="AD50" i="720"/>
  <c r="AC50" i="720"/>
  <c r="AB50" i="720"/>
  <c r="AA50" i="720"/>
  <c r="Z50" i="720"/>
  <c r="Y50" i="720"/>
  <c r="X50" i="720"/>
  <c r="W50" i="720"/>
  <c r="V50" i="720"/>
  <c r="U50" i="720"/>
  <c r="D42" i="720"/>
  <c r="K44" i="720"/>
  <c r="M27" i="720"/>
  <c r="M26" i="720"/>
  <c r="L26" i="720"/>
  <c r="K26" i="720"/>
  <c r="M25" i="720"/>
  <c r="M23" i="720"/>
  <c r="M22" i="720"/>
  <c r="L22" i="720"/>
  <c r="K22" i="720"/>
  <c r="K21" i="720"/>
  <c r="AA19" i="720"/>
  <c r="Z19" i="720"/>
  <c r="Y19" i="720"/>
  <c r="X19" i="720"/>
  <c r="W19" i="720"/>
  <c r="V19" i="720"/>
  <c r="U19" i="720"/>
  <c r="T19" i="720"/>
  <c r="S19" i="720"/>
  <c r="AA18" i="720"/>
  <c r="Z18" i="720"/>
  <c r="Y18" i="720"/>
  <c r="X18" i="720"/>
  <c r="W18" i="720"/>
  <c r="V18" i="720"/>
  <c r="U18" i="720"/>
  <c r="T18" i="720"/>
  <c r="S18" i="720"/>
  <c r="AA17" i="720"/>
  <c r="Z17" i="720"/>
  <c r="Y17" i="720"/>
  <c r="X17" i="720"/>
  <c r="W17" i="720"/>
  <c r="V17" i="720"/>
  <c r="U17" i="720"/>
  <c r="T17" i="720"/>
  <c r="S17" i="720"/>
  <c r="AA16" i="720"/>
  <c r="Z16" i="720"/>
  <c r="Y16" i="720"/>
  <c r="X16" i="720"/>
  <c r="W16" i="720"/>
  <c r="V16" i="720"/>
  <c r="U16" i="720"/>
  <c r="T16" i="720"/>
  <c r="S16" i="720"/>
  <c r="AA15" i="720"/>
  <c r="Z15" i="720"/>
  <c r="Y15" i="720"/>
  <c r="X15" i="720"/>
  <c r="W15" i="720"/>
  <c r="V15" i="720"/>
  <c r="U15" i="720"/>
  <c r="T15" i="720"/>
  <c r="S15" i="720"/>
  <c r="AA14" i="720"/>
  <c r="Z14" i="720"/>
  <c r="Y14" i="720"/>
  <c r="X14" i="720"/>
  <c r="W14" i="720"/>
  <c r="V14" i="720"/>
  <c r="U14" i="720"/>
  <c r="T14" i="720"/>
  <c r="S14" i="720"/>
  <c r="AA10" i="720"/>
  <c r="Z10" i="720"/>
  <c r="Y10" i="720"/>
  <c r="X10" i="720"/>
  <c r="W10" i="720"/>
  <c r="V10" i="720"/>
  <c r="U10" i="720"/>
  <c r="T10" i="720"/>
  <c r="S10" i="720"/>
  <c r="K30" i="720" l="1"/>
  <c r="K55" i="720"/>
  <c r="I10" i="720" l="1"/>
  <c r="J20" i="720" s="1"/>
  <c r="J10" i="720" l="1"/>
  <c r="C25" i="719" l="1" a="1"/>
  <c r="C25" i="719" s="1"/>
  <c r="K54" i="719"/>
  <c r="K62" i="719" l="1"/>
  <c r="G54" i="719"/>
  <c r="E54" i="719"/>
  <c r="K39" i="719"/>
  <c r="K25" i="719"/>
  <c r="S10" i="719"/>
  <c r="T10" i="719"/>
  <c r="U10" i="719"/>
  <c r="V10" i="719"/>
  <c r="W10" i="719"/>
  <c r="X10" i="719"/>
  <c r="Y10" i="719"/>
  <c r="Z10" i="719"/>
  <c r="AA10" i="719"/>
  <c r="K35" i="718"/>
  <c r="K21" i="718"/>
  <c r="I10" i="719"/>
  <c r="J10" i="719"/>
  <c r="K10" i="719"/>
  <c r="L10" i="719"/>
  <c r="M10" i="719"/>
  <c r="N10" i="719"/>
  <c r="O10" i="719"/>
  <c r="C10" i="719"/>
  <c r="D10" i="719"/>
  <c r="E10" i="719"/>
  <c r="F10" i="719"/>
  <c r="G10" i="719"/>
  <c r="B25" i="719"/>
  <c r="C11" i="719"/>
  <c r="S11" i="719"/>
  <c r="T11" i="719"/>
  <c r="U11" i="719"/>
  <c r="V11" i="719"/>
  <c r="W11" i="719"/>
  <c r="X11" i="719"/>
  <c r="Y11" i="719"/>
  <c r="Z11" i="719"/>
  <c r="AA11" i="719"/>
  <c r="S12" i="719"/>
  <c r="T12" i="719"/>
  <c r="U12" i="719"/>
  <c r="V12" i="719"/>
  <c r="W12" i="719"/>
  <c r="X12" i="719"/>
  <c r="Y12" i="719"/>
  <c r="Z12" i="719"/>
  <c r="AA12" i="719"/>
  <c r="S13" i="719"/>
  <c r="T13" i="719"/>
  <c r="U13" i="719"/>
  <c r="V13" i="719"/>
  <c r="W13" i="719"/>
  <c r="X13" i="719"/>
  <c r="Y13" i="719"/>
  <c r="Z13" i="719"/>
  <c r="AA13" i="719"/>
  <c r="S14" i="719"/>
  <c r="T14" i="719"/>
  <c r="U14" i="719"/>
  <c r="V14" i="719"/>
  <c r="W14" i="719"/>
  <c r="X14" i="719"/>
  <c r="Y14" i="719"/>
  <c r="Z14" i="719"/>
  <c r="AA14" i="719"/>
  <c r="S15" i="719"/>
  <c r="T15" i="719"/>
  <c r="U15" i="719"/>
  <c r="V15" i="719"/>
  <c r="W15" i="719"/>
  <c r="X15" i="719"/>
  <c r="Y15" i="719"/>
  <c r="Z15" i="719"/>
  <c r="AA15" i="719"/>
  <c r="S16" i="719"/>
  <c r="T16" i="719"/>
  <c r="U16" i="719"/>
  <c r="V16" i="719"/>
  <c r="W16" i="719"/>
  <c r="X16" i="719"/>
  <c r="Y16" i="719"/>
  <c r="Z16" i="719"/>
  <c r="AA16" i="719"/>
  <c r="S17" i="719"/>
  <c r="T17" i="719"/>
  <c r="U17" i="719"/>
  <c r="V17" i="719"/>
  <c r="W17" i="719"/>
  <c r="X17" i="719"/>
  <c r="Y17" i="719"/>
  <c r="Z17" i="719"/>
  <c r="AA17" i="719"/>
  <c r="S18" i="719"/>
  <c r="T18" i="719"/>
  <c r="U18" i="719"/>
  <c r="V18" i="719"/>
  <c r="W18" i="719"/>
  <c r="X18" i="719"/>
  <c r="Y18" i="719"/>
  <c r="Z18" i="719"/>
  <c r="AA18" i="719"/>
  <c r="S19" i="719"/>
  <c r="T19" i="719"/>
  <c r="U19" i="719"/>
  <c r="V19" i="719"/>
  <c r="W19" i="719"/>
  <c r="X19" i="719"/>
  <c r="Y19" i="719"/>
  <c r="Z19" i="719"/>
  <c r="AA19" i="719"/>
  <c r="S20" i="719"/>
  <c r="T20" i="719"/>
  <c r="U20" i="719"/>
  <c r="V20" i="719"/>
  <c r="W20" i="719"/>
  <c r="X20" i="719"/>
  <c r="Y20" i="719"/>
  <c r="Z20" i="719"/>
  <c r="AA20" i="719"/>
  <c r="D11" i="719"/>
  <c r="E11" i="719"/>
  <c r="F11" i="719"/>
  <c r="G11" i="719"/>
  <c r="K11" i="719"/>
  <c r="L11" i="719"/>
  <c r="M11" i="719"/>
  <c r="N11" i="719"/>
  <c r="O11" i="719"/>
  <c r="C12" i="719"/>
  <c r="D12" i="719"/>
  <c r="E12" i="719"/>
  <c r="F12" i="719"/>
  <c r="G12" i="719"/>
  <c r="K12" i="719"/>
  <c r="L12" i="719"/>
  <c r="M12" i="719"/>
  <c r="N12" i="719"/>
  <c r="O12" i="719"/>
  <c r="C13" i="719"/>
  <c r="D13" i="719"/>
  <c r="E13" i="719"/>
  <c r="F13" i="719"/>
  <c r="G13" i="719"/>
  <c r="K13" i="719"/>
  <c r="L13" i="719"/>
  <c r="M13" i="719"/>
  <c r="N13" i="719"/>
  <c r="O13" i="719"/>
  <c r="C14" i="719"/>
  <c r="D14" i="719"/>
  <c r="E14" i="719"/>
  <c r="F14" i="719"/>
  <c r="G14" i="719"/>
  <c r="K14" i="719"/>
  <c r="L14" i="719"/>
  <c r="M14" i="719"/>
  <c r="N14" i="719"/>
  <c r="O14" i="719"/>
  <c r="C15" i="719"/>
  <c r="D15" i="719"/>
  <c r="E15" i="719"/>
  <c r="F15" i="719"/>
  <c r="G15" i="719"/>
  <c r="K15" i="719"/>
  <c r="L15" i="719"/>
  <c r="M15" i="719"/>
  <c r="N15" i="719"/>
  <c r="O15" i="719"/>
  <c r="C16" i="719"/>
  <c r="D16" i="719"/>
  <c r="E16" i="719"/>
  <c r="F16" i="719"/>
  <c r="G16" i="719"/>
  <c r="K16" i="719"/>
  <c r="L16" i="719"/>
  <c r="M16" i="719"/>
  <c r="N16" i="719"/>
  <c r="O16" i="719"/>
  <c r="C17" i="719"/>
  <c r="D17" i="719"/>
  <c r="E17" i="719"/>
  <c r="F17" i="719"/>
  <c r="G17" i="719"/>
  <c r="K17" i="719"/>
  <c r="L17" i="719"/>
  <c r="M17" i="719"/>
  <c r="N17" i="719"/>
  <c r="O17" i="719"/>
  <c r="B54" i="719"/>
  <c r="F65" i="719"/>
  <c r="AY55" i="719"/>
  <c r="AX55" i="719"/>
  <c r="AW55" i="719"/>
  <c r="AV55" i="719"/>
  <c r="AU55" i="719"/>
  <c r="AT55" i="719"/>
  <c r="AS55" i="719"/>
  <c r="AR55" i="719"/>
  <c r="AQ55" i="719"/>
  <c r="AP55" i="719"/>
  <c r="AO55" i="719"/>
  <c r="AN55" i="719"/>
  <c r="AM55" i="719"/>
  <c r="AL55" i="719"/>
  <c r="AK55" i="719"/>
  <c r="AJ55" i="719"/>
  <c r="AI55" i="719"/>
  <c r="AH55" i="719"/>
  <c r="AG55" i="719"/>
  <c r="AF55" i="719"/>
  <c r="AE55" i="719"/>
  <c r="AD55" i="719"/>
  <c r="AC55" i="719"/>
  <c r="AB55" i="719"/>
  <c r="AA55" i="719"/>
  <c r="Z55" i="719"/>
  <c r="Y55" i="719"/>
  <c r="X55" i="719"/>
  <c r="W55" i="719"/>
  <c r="V55" i="719"/>
  <c r="U55" i="719"/>
  <c r="D47" i="719"/>
  <c r="K49" i="719"/>
  <c r="M32" i="719"/>
  <c r="M31" i="719"/>
  <c r="L31" i="719"/>
  <c r="K31" i="719"/>
  <c r="M30" i="719"/>
  <c r="M28" i="719"/>
  <c r="M27" i="719"/>
  <c r="L27" i="719"/>
  <c r="K27" i="719"/>
  <c r="K26" i="719"/>
  <c r="AA24" i="719"/>
  <c r="Z24" i="719"/>
  <c r="Y24" i="719"/>
  <c r="X24" i="719"/>
  <c r="W24" i="719"/>
  <c r="V24" i="719"/>
  <c r="U24" i="719"/>
  <c r="T24" i="719"/>
  <c r="S24" i="719"/>
  <c r="AA23" i="719"/>
  <c r="Z23" i="719"/>
  <c r="Y23" i="719"/>
  <c r="X23" i="719"/>
  <c r="W23" i="719"/>
  <c r="V23" i="719"/>
  <c r="U23" i="719"/>
  <c r="T23" i="719"/>
  <c r="S23" i="719"/>
  <c r="AA22" i="719"/>
  <c r="Z22" i="719"/>
  <c r="Y22" i="719"/>
  <c r="X22" i="719"/>
  <c r="W22" i="719"/>
  <c r="V22" i="719"/>
  <c r="U22" i="719"/>
  <c r="T22" i="719"/>
  <c r="S22" i="719"/>
  <c r="AA21" i="719"/>
  <c r="Z21" i="719"/>
  <c r="Y21" i="719"/>
  <c r="X21" i="719"/>
  <c r="W21" i="719"/>
  <c r="V21" i="719"/>
  <c r="U21" i="719"/>
  <c r="T21" i="719"/>
  <c r="S21" i="719"/>
  <c r="C21" i="718" a="1"/>
  <c r="C21" i="718" s="1"/>
  <c r="K50" i="718"/>
  <c r="K35" i="719" l="1"/>
  <c r="G50" i="718"/>
  <c r="K45" i="718"/>
  <c r="C16" i="718"/>
  <c r="D16" i="718"/>
  <c r="E16" i="718"/>
  <c r="F16" i="718"/>
  <c r="G16" i="718"/>
  <c r="I16" i="718"/>
  <c r="J16" i="718"/>
  <c r="K16" i="718"/>
  <c r="L16" i="718"/>
  <c r="M16" i="718"/>
  <c r="N16" i="718"/>
  <c r="O16" i="718"/>
  <c r="C15" i="718"/>
  <c r="D15" i="718"/>
  <c r="E15" i="718"/>
  <c r="F15" i="718"/>
  <c r="G15" i="718"/>
  <c r="I15" i="718"/>
  <c r="J15" i="718"/>
  <c r="K15" i="718"/>
  <c r="L15" i="718"/>
  <c r="M15" i="718"/>
  <c r="N15" i="718"/>
  <c r="O15" i="718"/>
  <c r="K57" i="718"/>
  <c r="B21" i="718"/>
  <c r="S10" i="718"/>
  <c r="T10" i="718"/>
  <c r="U10" i="718"/>
  <c r="V10" i="718"/>
  <c r="W10" i="718"/>
  <c r="X10" i="718"/>
  <c r="Y10" i="718"/>
  <c r="Z10" i="718"/>
  <c r="AA10" i="718"/>
  <c r="S11" i="718"/>
  <c r="T11" i="718"/>
  <c r="U11" i="718"/>
  <c r="V11" i="718"/>
  <c r="W11" i="718"/>
  <c r="X11" i="718"/>
  <c r="Y11" i="718"/>
  <c r="Z11" i="718"/>
  <c r="AA11" i="718"/>
  <c r="S12" i="718"/>
  <c r="T12" i="718"/>
  <c r="U12" i="718"/>
  <c r="V12" i="718"/>
  <c r="W12" i="718"/>
  <c r="X12" i="718"/>
  <c r="Y12" i="718"/>
  <c r="Z12" i="718"/>
  <c r="AA12" i="718"/>
  <c r="S13" i="718"/>
  <c r="T13" i="718"/>
  <c r="U13" i="718"/>
  <c r="V13" i="718"/>
  <c r="W13" i="718"/>
  <c r="X13" i="718"/>
  <c r="Y13" i="718"/>
  <c r="Z13" i="718"/>
  <c r="AA13" i="718"/>
  <c r="S14" i="718"/>
  <c r="T14" i="718"/>
  <c r="U14" i="718"/>
  <c r="V14" i="718"/>
  <c r="W14" i="718"/>
  <c r="X14" i="718"/>
  <c r="Y14" i="718"/>
  <c r="Z14" i="718"/>
  <c r="AA14" i="718"/>
  <c r="S15" i="718"/>
  <c r="T15" i="718"/>
  <c r="U15" i="718"/>
  <c r="V15" i="718"/>
  <c r="W15" i="718"/>
  <c r="X15" i="718"/>
  <c r="Y15" i="718"/>
  <c r="Z15" i="718"/>
  <c r="AA15" i="718"/>
  <c r="S16" i="718"/>
  <c r="T16" i="718"/>
  <c r="U16" i="718"/>
  <c r="V16" i="718"/>
  <c r="W16" i="718"/>
  <c r="X16" i="718"/>
  <c r="Y16" i="718"/>
  <c r="Z16" i="718"/>
  <c r="AA16" i="718"/>
  <c r="D10" i="718"/>
  <c r="E10" i="718"/>
  <c r="F10" i="718"/>
  <c r="G10" i="718"/>
  <c r="K10" i="718"/>
  <c r="L10" i="718"/>
  <c r="M10" i="718"/>
  <c r="N10" i="718"/>
  <c r="O10" i="718"/>
  <c r="D11" i="718"/>
  <c r="E11" i="718"/>
  <c r="F11" i="718"/>
  <c r="G11" i="718"/>
  <c r="K11" i="718"/>
  <c r="L11" i="718"/>
  <c r="M11" i="718"/>
  <c r="N11" i="718"/>
  <c r="O11" i="718"/>
  <c r="D12" i="718"/>
  <c r="E12" i="718"/>
  <c r="F12" i="718"/>
  <c r="G12" i="718"/>
  <c r="K12" i="718"/>
  <c r="L12" i="718"/>
  <c r="M12" i="718"/>
  <c r="N12" i="718"/>
  <c r="O12" i="718"/>
  <c r="D13" i="718"/>
  <c r="E13" i="718"/>
  <c r="F13" i="718"/>
  <c r="G13" i="718"/>
  <c r="K13" i="718"/>
  <c r="L13" i="718"/>
  <c r="M13" i="718"/>
  <c r="N13" i="718"/>
  <c r="O13" i="718"/>
  <c r="C14" i="718"/>
  <c r="D14" i="718"/>
  <c r="E14" i="718"/>
  <c r="F14" i="718"/>
  <c r="G14" i="718"/>
  <c r="I14" i="718"/>
  <c r="J14" i="718"/>
  <c r="K14" i="718"/>
  <c r="L14" i="718"/>
  <c r="M14" i="718"/>
  <c r="N14" i="718"/>
  <c r="O14" i="718"/>
  <c r="F61" i="718"/>
  <c r="AY51" i="718"/>
  <c r="AX51" i="718"/>
  <c r="AW51" i="718"/>
  <c r="AV51" i="718"/>
  <c r="AU51" i="718"/>
  <c r="AT51" i="718"/>
  <c r="AS51" i="718"/>
  <c r="AR51" i="718"/>
  <c r="AQ51" i="718"/>
  <c r="AP51" i="718"/>
  <c r="AO51" i="718"/>
  <c r="AN51" i="718"/>
  <c r="AM51" i="718"/>
  <c r="AL51" i="718"/>
  <c r="AK51" i="718"/>
  <c r="AJ51" i="718"/>
  <c r="AI51" i="718"/>
  <c r="AH51" i="718"/>
  <c r="AG51" i="718"/>
  <c r="AF51" i="718"/>
  <c r="AE51" i="718"/>
  <c r="AD51" i="718"/>
  <c r="AC51" i="718"/>
  <c r="AB51" i="718"/>
  <c r="AA51" i="718"/>
  <c r="Z51" i="718"/>
  <c r="Y51" i="718"/>
  <c r="X51" i="718"/>
  <c r="W51" i="718"/>
  <c r="V51" i="718"/>
  <c r="U51" i="718"/>
  <c r="B50" i="718"/>
  <c r="D43" i="718"/>
  <c r="M28" i="718"/>
  <c r="M27" i="718"/>
  <c r="L27" i="718"/>
  <c r="K27" i="718"/>
  <c r="M26" i="718"/>
  <c r="M24" i="718"/>
  <c r="M23" i="718"/>
  <c r="L23" i="718"/>
  <c r="K23" i="718"/>
  <c r="K22" i="718"/>
  <c r="AA20" i="718"/>
  <c r="Z20" i="718"/>
  <c r="Y20" i="718"/>
  <c r="X20" i="718"/>
  <c r="W20" i="718"/>
  <c r="V20" i="718"/>
  <c r="U20" i="718"/>
  <c r="T20" i="718"/>
  <c r="S20" i="718"/>
  <c r="AA19" i="718"/>
  <c r="Z19" i="718"/>
  <c r="Y19" i="718"/>
  <c r="X19" i="718"/>
  <c r="W19" i="718"/>
  <c r="V19" i="718"/>
  <c r="U19" i="718"/>
  <c r="T19" i="718"/>
  <c r="S19" i="718"/>
  <c r="AA18" i="718"/>
  <c r="Z18" i="718"/>
  <c r="Y18" i="718"/>
  <c r="X18" i="718"/>
  <c r="W18" i="718"/>
  <c r="V18" i="718"/>
  <c r="U18" i="718"/>
  <c r="T18" i="718"/>
  <c r="S18" i="718"/>
  <c r="AA17" i="718"/>
  <c r="Z17" i="718"/>
  <c r="Y17" i="718"/>
  <c r="X17" i="718"/>
  <c r="W17" i="718"/>
  <c r="V17" i="718"/>
  <c r="U17" i="718"/>
  <c r="T17" i="718"/>
  <c r="S17" i="718"/>
  <c r="K31" i="718" l="1"/>
  <c r="I10" i="718" l="1"/>
  <c r="J10" i="718"/>
  <c r="I11" i="718"/>
  <c r="J11" i="718"/>
  <c r="I12" i="718"/>
  <c r="J12" i="718"/>
  <c r="J13" i="718"/>
  <c r="I13" i="718" l="1"/>
  <c r="J21" i="718" s="1"/>
  <c r="C10" i="718" l="1"/>
  <c r="C11" i="718"/>
  <c r="C12" i="718"/>
  <c r="C13" i="718"/>
  <c r="K51" i="717" l="1"/>
  <c r="K58" i="717" s="1"/>
  <c r="C32" i="717" a="1"/>
  <c r="C32" i="717" s="1"/>
  <c r="B32" i="717"/>
  <c r="G51" i="717"/>
  <c r="B51" i="717"/>
  <c r="K49" i="717"/>
  <c r="K57" i="717" l="1"/>
  <c r="C22" i="717" a="1"/>
  <c r="C22" i="717" s="1"/>
  <c r="C20" i="717" a="1"/>
  <c r="C20" i="717" s="1"/>
  <c r="B20" i="717"/>
  <c r="G49" i="717"/>
  <c r="B49" i="717"/>
  <c r="K34" i="717"/>
  <c r="S10" i="717"/>
  <c r="T10" i="717"/>
  <c r="U10" i="717"/>
  <c r="V10" i="717"/>
  <c r="W10" i="717"/>
  <c r="X10" i="717"/>
  <c r="Y10" i="717"/>
  <c r="Z10" i="717"/>
  <c r="AA10" i="717"/>
  <c r="S11" i="717"/>
  <c r="T11" i="717"/>
  <c r="U11" i="717"/>
  <c r="V11" i="717"/>
  <c r="W11" i="717"/>
  <c r="X11" i="717"/>
  <c r="Y11" i="717"/>
  <c r="Z11" i="717"/>
  <c r="AA11" i="717"/>
  <c r="S12" i="717"/>
  <c r="T12" i="717"/>
  <c r="U12" i="717"/>
  <c r="V12" i="717"/>
  <c r="W12" i="717"/>
  <c r="X12" i="717"/>
  <c r="Y12" i="717"/>
  <c r="Z12" i="717"/>
  <c r="AA12" i="717"/>
  <c r="S13" i="717"/>
  <c r="T13" i="717"/>
  <c r="U13" i="717"/>
  <c r="V13" i="717"/>
  <c r="W13" i="717"/>
  <c r="X13" i="717"/>
  <c r="Y13" i="717"/>
  <c r="Z13" i="717"/>
  <c r="AA13" i="717"/>
  <c r="K20" i="717"/>
  <c r="K24" i="716"/>
  <c r="K38" i="716"/>
  <c r="K17" i="716"/>
  <c r="L17" i="716"/>
  <c r="M17" i="716"/>
  <c r="N17" i="716"/>
  <c r="O17" i="716"/>
  <c r="C17" i="716"/>
  <c r="D17" i="716"/>
  <c r="E17" i="716"/>
  <c r="F17" i="716"/>
  <c r="G17" i="716"/>
  <c r="C10" i="717"/>
  <c r="D10" i="717"/>
  <c r="E10" i="717"/>
  <c r="F10" i="717"/>
  <c r="G10" i="717"/>
  <c r="K10" i="717"/>
  <c r="L10" i="717"/>
  <c r="M10" i="717"/>
  <c r="N10" i="717"/>
  <c r="O10" i="717"/>
  <c r="C11" i="717"/>
  <c r="D11" i="717"/>
  <c r="E11" i="717"/>
  <c r="F11" i="717"/>
  <c r="G11" i="717"/>
  <c r="K11" i="717"/>
  <c r="L11" i="717"/>
  <c r="M11" i="717"/>
  <c r="N11" i="717"/>
  <c r="O11" i="717"/>
  <c r="C12" i="717"/>
  <c r="D12" i="717"/>
  <c r="E12" i="717"/>
  <c r="F12" i="717"/>
  <c r="G12" i="717"/>
  <c r="I12" i="717"/>
  <c r="J12" i="717"/>
  <c r="K12" i="717"/>
  <c r="L12" i="717"/>
  <c r="M12" i="717"/>
  <c r="N12" i="717"/>
  <c r="O12" i="717"/>
  <c r="C13" i="717"/>
  <c r="D13" i="717"/>
  <c r="E13" i="717"/>
  <c r="F13" i="717"/>
  <c r="G13" i="717"/>
  <c r="I13" i="717"/>
  <c r="J13" i="717"/>
  <c r="K13" i="717"/>
  <c r="L13" i="717"/>
  <c r="M13" i="717"/>
  <c r="N13" i="717"/>
  <c r="O13" i="717"/>
  <c r="C14" i="717"/>
  <c r="D14" i="717"/>
  <c r="E14" i="717"/>
  <c r="F14" i="717"/>
  <c r="G14" i="717"/>
  <c r="I14" i="717"/>
  <c r="J14" i="717"/>
  <c r="K14" i="717"/>
  <c r="L14" i="717"/>
  <c r="M14" i="717"/>
  <c r="N14" i="717"/>
  <c r="O14" i="717"/>
  <c r="C15" i="717"/>
  <c r="D15" i="717"/>
  <c r="E15" i="717"/>
  <c r="F15" i="717"/>
  <c r="G15" i="717"/>
  <c r="K15" i="717"/>
  <c r="L15" i="717"/>
  <c r="M15" i="717"/>
  <c r="N15" i="717"/>
  <c r="O15" i="717"/>
  <c r="F62" i="717"/>
  <c r="AY52" i="717"/>
  <c r="AX52" i="717"/>
  <c r="AW52" i="717"/>
  <c r="AV52" i="717"/>
  <c r="AU52" i="717"/>
  <c r="AT52" i="717"/>
  <c r="AS52" i="717"/>
  <c r="AR52" i="717"/>
  <c r="AQ52" i="717"/>
  <c r="AP52" i="717"/>
  <c r="AO52" i="717"/>
  <c r="AN52" i="717"/>
  <c r="AM52" i="717"/>
  <c r="AL52" i="717"/>
  <c r="AK52" i="717"/>
  <c r="AJ52" i="717"/>
  <c r="AI52" i="717"/>
  <c r="AH52" i="717"/>
  <c r="AG52" i="717"/>
  <c r="AF52" i="717"/>
  <c r="AE52" i="717"/>
  <c r="AD52" i="717"/>
  <c r="AC52" i="717"/>
  <c r="AB52" i="717"/>
  <c r="AA52" i="717"/>
  <c r="Z52" i="717"/>
  <c r="Y52" i="717"/>
  <c r="X52" i="717"/>
  <c r="W52" i="717"/>
  <c r="V52" i="717"/>
  <c r="U52" i="717"/>
  <c r="D42" i="717"/>
  <c r="M27" i="717"/>
  <c r="M26" i="717"/>
  <c r="L26" i="717"/>
  <c r="K26" i="717"/>
  <c r="M25" i="717"/>
  <c r="M23" i="717"/>
  <c r="M22" i="717"/>
  <c r="L22" i="717"/>
  <c r="K22" i="717"/>
  <c r="K21" i="717"/>
  <c r="AA19" i="717"/>
  <c r="Z19" i="717"/>
  <c r="Y19" i="717"/>
  <c r="X19" i="717"/>
  <c r="W19" i="717"/>
  <c r="V19" i="717"/>
  <c r="U19" i="717"/>
  <c r="T19" i="717"/>
  <c r="S19" i="717"/>
  <c r="AA18" i="717"/>
  <c r="Z18" i="717"/>
  <c r="Y18" i="717"/>
  <c r="X18" i="717"/>
  <c r="W18" i="717"/>
  <c r="V18" i="717"/>
  <c r="U18" i="717"/>
  <c r="T18" i="717"/>
  <c r="S18" i="717"/>
  <c r="AA17" i="717"/>
  <c r="Z17" i="717"/>
  <c r="Y17" i="717"/>
  <c r="X17" i="717"/>
  <c r="W17" i="717"/>
  <c r="V17" i="717"/>
  <c r="U17" i="717"/>
  <c r="T17" i="717"/>
  <c r="S17" i="717"/>
  <c r="AA16" i="717"/>
  <c r="Z16" i="717"/>
  <c r="Y16" i="717"/>
  <c r="X16" i="717"/>
  <c r="W16" i="717"/>
  <c r="V16" i="717"/>
  <c r="U16" i="717"/>
  <c r="T16" i="717"/>
  <c r="S16" i="717"/>
  <c r="AA15" i="717"/>
  <c r="Z15" i="717"/>
  <c r="Y15" i="717"/>
  <c r="X15" i="717"/>
  <c r="W15" i="717"/>
  <c r="V15" i="717"/>
  <c r="U15" i="717"/>
  <c r="T15" i="717"/>
  <c r="S15" i="717"/>
  <c r="AA14" i="717"/>
  <c r="Z14" i="717"/>
  <c r="Y14" i="717"/>
  <c r="X14" i="717"/>
  <c r="W14" i="717"/>
  <c r="V14" i="717"/>
  <c r="U14" i="717"/>
  <c r="T14" i="717"/>
  <c r="S14" i="717"/>
  <c r="S18" i="715"/>
  <c r="T18" i="715"/>
  <c r="U18" i="715"/>
  <c r="V18" i="715"/>
  <c r="W18" i="715"/>
  <c r="X18" i="715"/>
  <c r="Y18" i="715"/>
  <c r="Z18" i="715"/>
  <c r="AA18" i="715"/>
  <c r="S19" i="715"/>
  <c r="T19" i="715"/>
  <c r="U19" i="715"/>
  <c r="V19" i="715"/>
  <c r="W19" i="715"/>
  <c r="X19" i="715"/>
  <c r="Y19" i="715"/>
  <c r="Z19" i="715"/>
  <c r="AA19" i="715"/>
  <c r="S20" i="715"/>
  <c r="T20" i="715"/>
  <c r="U20" i="715"/>
  <c r="V20" i="715"/>
  <c r="W20" i="715"/>
  <c r="X20" i="715"/>
  <c r="Y20" i="715"/>
  <c r="Z20" i="715"/>
  <c r="AA20" i="715"/>
  <c r="S21" i="715"/>
  <c r="T21" i="715"/>
  <c r="U21" i="715"/>
  <c r="V21" i="715"/>
  <c r="W21" i="715"/>
  <c r="X21" i="715"/>
  <c r="Y21" i="715"/>
  <c r="Z21" i="715"/>
  <c r="AA21" i="715"/>
  <c r="S22" i="715"/>
  <c r="T22" i="715"/>
  <c r="U22" i="715"/>
  <c r="V22" i="715"/>
  <c r="W22" i="715"/>
  <c r="X22" i="715"/>
  <c r="Y22" i="715"/>
  <c r="Z22" i="715"/>
  <c r="AA22" i="715"/>
  <c r="S10" i="715"/>
  <c r="T10" i="715"/>
  <c r="U10" i="715"/>
  <c r="V10" i="715"/>
  <c r="W10" i="715"/>
  <c r="X10" i="715"/>
  <c r="Y10" i="715"/>
  <c r="Z10" i="715"/>
  <c r="AA10" i="715"/>
  <c r="S11" i="715"/>
  <c r="T11" i="715"/>
  <c r="U11" i="715"/>
  <c r="V11" i="715"/>
  <c r="W11" i="715"/>
  <c r="X11" i="715"/>
  <c r="Y11" i="715"/>
  <c r="Z11" i="715"/>
  <c r="AA11" i="715"/>
  <c r="S12" i="715"/>
  <c r="T12" i="715"/>
  <c r="U12" i="715"/>
  <c r="V12" i="715"/>
  <c r="W12" i="715"/>
  <c r="X12" i="715"/>
  <c r="Y12" i="715"/>
  <c r="Z12" i="715"/>
  <c r="AA12" i="715"/>
  <c r="S13" i="715"/>
  <c r="T13" i="715"/>
  <c r="U13" i="715"/>
  <c r="V13" i="715"/>
  <c r="W13" i="715"/>
  <c r="X13" i="715"/>
  <c r="Y13" i="715"/>
  <c r="Z13" i="715"/>
  <c r="AA13" i="715"/>
  <c r="S14" i="715"/>
  <c r="T14" i="715"/>
  <c r="U14" i="715"/>
  <c r="V14" i="715"/>
  <c r="W14" i="715"/>
  <c r="X14" i="715"/>
  <c r="Y14" i="715"/>
  <c r="Z14" i="715"/>
  <c r="AA14" i="715"/>
  <c r="S15" i="715"/>
  <c r="T15" i="715"/>
  <c r="U15" i="715"/>
  <c r="V15" i="715"/>
  <c r="W15" i="715"/>
  <c r="X15" i="715"/>
  <c r="Y15" i="715"/>
  <c r="Z15" i="715"/>
  <c r="AA15" i="715"/>
  <c r="S16" i="715"/>
  <c r="T16" i="715"/>
  <c r="U16" i="715"/>
  <c r="V16" i="715"/>
  <c r="W16" i="715"/>
  <c r="X16" i="715"/>
  <c r="Y16" i="715"/>
  <c r="Z16" i="715"/>
  <c r="AA16" i="715"/>
  <c r="S10" i="716"/>
  <c r="T10" i="716"/>
  <c r="U10" i="716"/>
  <c r="V10" i="716"/>
  <c r="W10" i="716"/>
  <c r="X10" i="716"/>
  <c r="Y10" i="716"/>
  <c r="Z10" i="716"/>
  <c r="AA10" i="716"/>
  <c r="S11" i="716"/>
  <c r="T11" i="716"/>
  <c r="U11" i="716"/>
  <c r="V11" i="716"/>
  <c r="W11" i="716"/>
  <c r="X11" i="716"/>
  <c r="Y11" i="716"/>
  <c r="Z11" i="716"/>
  <c r="AA11" i="716"/>
  <c r="S12" i="716"/>
  <c r="T12" i="716"/>
  <c r="U12" i="716"/>
  <c r="V12" i="716"/>
  <c r="W12" i="716"/>
  <c r="X12" i="716"/>
  <c r="Y12" i="716"/>
  <c r="Z12" i="716"/>
  <c r="AA12" i="716"/>
  <c r="S13" i="716"/>
  <c r="T13" i="716"/>
  <c r="U13" i="716"/>
  <c r="V13" i="716"/>
  <c r="W13" i="716"/>
  <c r="X13" i="716"/>
  <c r="Y13" i="716"/>
  <c r="Z13" i="716"/>
  <c r="AA13" i="716"/>
  <c r="S14" i="716"/>
  <c r="T14" i="716"/>
  <c r="U14" i="716"/>
  <c r="V14" i="716"/>
  <c r="W14" i="716"/>
  <c r="X14" i="716"/>
  <c r="Y14" i="716"/>
  <c r="Z14" i="716"/>
  <c r="AA14" i="716"/>
  <c r="S15" i="716"/>
  <c r="T15" i="716"/>
  <c r="U15" i="716"/>
  <c r="V15" i="716"/>
  <c r="W15" i="716"/>
  <c r="X15" i="716"/>
  <c r="Y15" i="716"/>
  <c r="Z15" i="716"/>
  <c r="AA15" i="716"/>
  <c r="S16" i="716"/>
  <c r="T16" i="716"/>
  <c r="U16" i="716"/>
  <c r="V16" i="716"/>
  <c r="W16" i="716"/>
  <c r="X16" i="716"/>
  <c r="Y16" i="716"/>
  <c r="Z16" i="716"/>
  <c r="AA16" i="716"/>
  <c r="S17" i="716"/>
  <c r="T17" i="716"/>
  <c r="U17" i="716"/>
  <c r="V17" i="716"/>
  <c r="W17" i="716"/>
  <c r="X17" i="716"/>
  <c r="Y17" i="716"/>
  <c r="Z17" i="716"/>
  <c r="AA17" i="716"/>
  <c r="S18" i="716"/>
  <c r="T18" i="716"/>
  <c r="U18" i="716"/>
  <c r="V18" i="716"/>
  <c r="W18" i="716"/>
  <c r="X18" i="716"/>
  <c r="Y18" i="716"/>
  <c r="Z18" i="716"/>
  <c r="AA18" i="716"/>
  <c r="S19" i="716"/>
  <c r="T19" i="716"/>
  <c r="U19" i="716"/>
  <c r="V19" i="716"/>
  <c r="W19" i="716"/>
  <c r="X19" i="716"/>
  <c r="Y19" i="716"/>
  <c r="Z19" i="716"/>
  <c r="AA19" i="716"/>
  <c r="K39" i="714"/>
  <c r="C19" i="714"/>
  <c r="D19" i="714"/>
  <c r="E19" i="714"/>
  <c r="F19" i="714"/>
  <c r="G19" i="714"/>
  <c r="J19" i="714"/>
  <c r="K19" i="714"/>
  <c r="L19" i="714"/>
  <c r="M19" i="714"/>
  <c r="N19" i="714"/>
  <c r="O19" i="714"/>
  <c r="K30" i="717" l="1"/>
  <c r="K44" i="717"/>
  <c r="K53" i="716"/>
  <c r="K61" i="716" s="1"/>
  <c r="G53" i="716" l="1"/>
  <c r="C24" i="716" a="1"/>
  <c r="C24" i="716" s="1"/>
  <c r="K39" i="716"/>
  <c r="K25" i="716"/>
  <c r="K24" i="715"/>
  <c r="O16" i="716"/>
  <c r="N16" i="716"/>
  <c r="M16" i="716"/>
  <c r="L16" i="716"/>
  <c r="K16" i="716"/>
  <c r="J16" i="716"/>
  <c r="I16" i="716"/>
  <c r="G16" i="716"/>
  <c r="F16" i="716"/>
  <c r="E16" i="716"/>
  <c r="D16" i="716"/>
  <c r="C16" i="716"/>
  <c r="C14" i="716"/>
  <c r="D14" i="716"/>
  <c r="E14" i="716"/>
  <c r="F14" i="716"/>
  <c r="G14" i="716"/>
  <c r="I14" i="716"/>
  <c r="J14" i="716"/>
  <c r="L14" i="716"/>
  <c r="M14" i="716"/>
  <c r="N14" i="716"/>
  <c r="O14" i="716"/>
  <c r="C10" i="716"/>
  <c r="D10" i="716"/>
  <c r="E10" i="716"/>
  <c r="F10" i="716"/>
  <c r="G10" i="716"/>
  <c r="I10" i="716"/>
  <c r="J10" i="716"/>
  <c r="L10" i="716"/>
  <c r="M10" i="716"/>
  <c r="N10" i="716"/>
  <c r="O10" i="716"/>
  <c r="C11" i="716"/>
  <c r="D11" i="716"/>
  <c r="E11" i="716"/>
  <c r="F11" i="716"/>
  <c r="G11" i="716"/>
  <c r="I11" i="716"/>
  <c r="J11" i="716"/>
  <c r="L11" i="716"/>
  <c r="M11" i="716"/>
  <c r="N11" i="716"/>
  <c r="O11" i="716"/>
  <c r="C12" i="716"/>
  <c r="D12" i="716"/>
  <c r="E12" i="716"/>
  <c r="F12" i="716"/>
  <c r="G12" i="716"/>
  <c r="I12" i="716"/>
  <c r="J12" i="716"/>
  <c r="L12" i="716"/>
  <c r="M12" i="716"/>
  <c r="N12" i="716"/>
  <c r="O12" i="716"/>
  <c r="C13" i="716"/>
  <c r="D13" i="716"/>
  <c r="E13" i="716"/>
  <c r="F13" i="716"/>
  <c r="G13" i="716"/>
  <c r="I13" i="716"/>
  <c r="J13" i="716"/>
  <c r="L13" i="716"/>
  <c r="M13" i="716"/>
  <c r="N13" i="716"/>
  <c r="O13" i="716"/>
  <c r="B53" i="716"/>
  <c r="F65" i="716"/>
  <c r="AY54" i="716"/>
  <c r="AX54" i="716"/>
  <c r="AW54" i="716"/>
  <c r="AV54" i="716"/>
  <c r="AU54" i="716"/>
  <c r="AT54" i="716"/>
  <c r="AS54" i="716"/>
  <c r="AR54" i="716"/>
  <c r="AQ54" i="716"/>
  <c r="AP54" i="716"/>
  <c r="AO54" i="716"/>
  <c r="AN54" i="716"/>
  <c r="AM54" i="716"/>
  <c r="AL54" i="716"/>
  <c r="AK54" i="716"/>
  <c r="AJ54" i="716"/>
  <c r="AI54" i="716"/>
  <c r="AH54" i="716"/>
  <c r="AG54" i="716"/>
  <c r="AF54" i="716"/>
  <c r="AE54" i="716"/>
  <c r="AD54" i="716"/>
  <c r="AC54" i="716"/>
  <c r="AB54" i="716"/>
  <c r="AA54" i="716"/>
  <c r="Z54" i="716"/>
  <c r="Y54" i="716"/>
  <c r="X54" i="716"/>
  <c r="W54" i="716"/>
  <c r="V54" i="716"/>
  <c r="U54" i="716"/>
  <c r="D46" i="716"/>
  <c r="M31" i="716"/>
  <c r="M30" i="716"/>
  <c r="L30" i="716"/>
  <c r="K30" i="716"/>
  <c r="M29" i="716"/>
  <c r="M27" i="716"/>
  <c r="M26" i="716"/>
  <c r="L26" i="716"/>
  <c r="K26" i="716"/>
  <c r="AA23" i="716"/>
  <c r="Z23" i="716"/>
  <c r="Y23" i="716"/>
  <c r="X23" i="716"/>
  <c r="W23" i="716"/>
  <c r="V23" i="716"/>
  <c r="U23" i="716"/>
  <c r="T23" i="716"/>
  <c r="S23" i="716"/>
  <c r="AA22" i="716"/>
  <c r="Z22" i="716"/>
  <c r="Y22" i="716"/>
  <c r="X22" i="716"/>
  <c r="W22" i="716"/>
  <c r="V22" i="716"/>
  <c r="U22" i="716"/>
  <c r="T22" i="716"/>
  <c r="S22" i="716"/>
  <c r="AA21" i="716"/>
  <c r="Z21" i="716"/>
  <c r="Y21" i="716"/>
  <c r="X21" i="716"/>
  <c r="W21" i="716"/>
  <c r="V21" i="716"/>
  <c r="U21" i="716"/>
  <c r="T21" i="716"/>
  <c r="S21" i="716"/>
  <c r="AA20" i="716"/>
  <c r="Z20" i="716"/>
  <c r="Y20" i="716"/>
  <c r="X20" i="716"/>
  <c r="W20" i="716"/>
  <c r="V20" i="716"/>
  <c r="U20" i="716"/>
  <c r="T20" i="716"/>
  <c r="S20" i="716"/>
  <c r="C13" i="715"/>
  <c r="D13" i="715"/>
  <c r="E13" i="715"/>
  <c r="F13" i="715"/>
  <c r="G13" i="715"/>
  <c r="K13" i="715"/>
  <c r="L13" i="715"/>
  <c r="M13" i="715"/>
  <c r="N13" i="715"/>
  <c r="O13" i="715"/>
  <c r="J25" i="716" l="1"/>
  <c r="K48" i="716"/>
  <c r="K34" i="716"/>
  <c r="G53" i="715"/>
  <c r="K53" i="715"/>
  <c r="K60" i="715" s="1"/>
  <c r="B53" i="715"/>
  <c r="C26" i="715" a="1"/>
  <c r="C26" i="715" s="1"/>
  <c r="C24" i="715" a="1"/>
  <c r="C24" i="715" s="1"/>
  <c r="J38" i="715"/>
  <c r="J48" i="715" s="1"/>
  <c r="K39" i="715"/>
  <c r="K48" i="715" s="1"/>
  <c r="D17" i="715"/>
  <c r="E17" i="715"/>
  <c r="F17" i="715"/>
  <c r="G17" i="715"/>
  <c r="L17" i="715"/>
  <c r="M17" i="715"/>
  <c r="N17" i="715"/>
  <c r="O17" i="715"/>
  <c r="D18" i="715"/>
  <c r="E18" i="715"/>
  <c r="F18" i="715"/>
  <c r="G18" i="715"/>
  <c r="L18" i="715"/>
  <c r="M18" i="715"/>
  <c r="O18" i="715"/>
  <c r="O16" i="715"/>
  <c r="N16" i="715"/>
  <c r="M16" i="715"/>
  <c r="L16" i="715"/>
  <c r="G16" i="715"/>
  <c r="F16" i="715"/>
  <c r="E16" i="715"/>
  <c r="D16" i="715"/>
  <c r="C10" i="715"/>
  <c r="D10" i="715"/>
  <c r="E10" i="715"/>
  <c r="F10" i="715"/>
  <c r="G10" i="715"/>
  <c r="K10" i="715"/>
  <c r="L10" i="715"/>
  <c r="M10" i="715"/>
  <c r="N10" i="715"/>
  <c r="O10" i="715"/>
  <c r="C11" i="715"/>
  <c r="D11" i="715"/>
  <c r="E11" i="715"/>
  <c r="F11" i="715"/>
  <c r="G11" i="715"/>
  <c r="K11" i="715"/>
  <c r="L11" i="715"/>
  <c r="M11" i="715"/>
  <c r="N11" i="715"/>
  <c r="O11" i="715"/>
  <c r="C12" i="715"/>
  <c r="D12" i="715"/>
  <c r="E12" i="715"/>
  <c r="F12" i="715"/>
  <c r="G12" i="715"/>
  <c r="K12" i="715"/>
  <c r="L12" i="715"/>
  <c r="M12" i="715"/>
  <c r="N12" i="715"/>
  <c r="O12" i="715"/>
  <c r="F65" i="715"/>
  <c r="AY54" i="715"/>
  <c r="AX54" i="715"/>
  <c r="AW54" i="715"/>
  <c r="AV54" i="715"/>
  <c r="AU54" i="715"/>
  <c r="AT54" i="715"/>
  <c r="AS54" i="715"/>
  <c r="AR54" i="715"/>
  <c r="AQ54" i="715"/>
  <c r="AP54" i="715"/>
  <c r="AO54" i="715"/>
  <c r="AN54" i="715"/>
  <c r="AM54" i="715"/>
  <c r="AL54" i="715"/>
  <c r="AK54" i="715"/>
  <c r="AJ54" i="715"/>
  <c r="AI54" i="715"/>
  <c r="AH54" i="715"/>
  <c r="AG54" i="715"/>
  <c r="AF54" i="715"/>
  <c r="AE54" i="715"/>
  <c r="AD54" i="715"/>
  <c r="AC54" i="715"/>
  <c r="AB54" i="715"/>
  <c r="AA54" i="715"/>
  <c r="Z54" i="715"/>
  <c r="Y54" i="715"/>
  <c r="X54" i="715"/>
  <c r="W54" i="715"/>
  <c r="V54" i="715"/>
  <c r="U54" i="715"/>
  <c r="D46" i="715"/>
  <c r="M31" i="715"/>
  <c r="M30" i="715"/>
  <c r="L30" i="715"/>
  <c r="K30" i="715"/>
  <c r="M29" i="715"/>
  <c r="M27" i="715"/>
  <c r="M26" i="715"/>
  <c r="L26" i="715"/>
  <c r="K26" i="715"/>
  <c r="AA23" i="715"/>
  <c r="Z23" i="715"/>
  <c r="Y23" i="715"/>
  <c r="X23" i="715"/>
  <c r="W23" i="715"/>
  <c r="V23" i="715"/>
  <c r="U23" i="715"/>
  <c r="T23" i="715"/>
  <c r="S23" i="715"/>
  <c r="AA17" i="715"/>
  <c r="Z17" i="715"/>
  <c r="Y17" i="715"/>
  <c r="X17" i="715"/>
  <c r="W17" i="715"/>
  <c r="V17" i="715"/>
  <c r="U17" i="715"/>
  <c r="T17" i="715"/>
  <c r="S17" i="715"/>
  <c r="K57" i="714" l="1"/>
  <c r="K63" i="714" s="1"/>
  <c r="K54" i="714"/>
  <c r="G54" i="714"/>
  <c r="G57" i="714"/>
  <c r="B57" i="714" l="1"/>
  <c r="C27" i="714" a="1"/>
  <c r="C27" i="714" s="1"/>
  <c r="C25" i="714" a="1"/>
  <c r="C25" i="714" s="1"/>
  <c r="C38" i="714"/>
  <c r="C37" i="714"/>
  <c r="K40" i="714"/>
  <c r="B37" i="714"/>
  <c r="K25" i="714"/>
  <c r="S17" i="714"/>
  <c r="T17" i="714"/>
  <c r="U17" i="714"/>
  <c r="V17" i="714"/>
  <c r="W17" i="714"/>
  <c r="X17" i="714"/>
  <c r="Y17" i="714"/>
  <c r="Z17" i="714"/>
  <c r="AA17" i="714"/>
  <c r="S18" i="714"/>
  <c r="T18" i="714"/>
  <c r="U18" i="714"/>
  <c r="V18" i="714"/>
  <c r="W18" i="714"/>
  <c r="X18" i="714"/>
  <c r="Y18" i="714"/>
  <c r="Z18" i="714"/>
  <c r="AA18" i="714"/>
  <c r="S19" i="714"/>
  <c r="T19" i="714"/>
  <c r="U19" i="714"/>
  <c r="V19" i="714"/>
  <c r="W19" i="714"/>
  <c r="X19" i="714"/>
  <c r="Y19" i="714"/>
  <c r="Z19" i="714"/>
  <c r="AA19" i="714"/>
  <c r="S20" i="714"/>
  <c r="T20" i="714"/>
  <c r="U20" i="714"/>
  <c r="V20" i="714"/>
  <c r="W20" i="714"/>
  <c r="X20" i="714"/>
  <c r="Y20" i="714"/>
  <c r="Z20" i="714"/>
  <c r="AA20" i="714"/>
  <c r="S10" i="714"/>
  <c r="T10" i="714"/>
  <c r="U10" i="714"/>
  <c r="V10" i="714"/>
  <c r="W10" i="714"/>
  <c r="X10" i="714"/>
  <c r="Y10" i="714"/>
  <c r="Z10" i="714"/>
  <c r="AA10" i="714"/>
  <c r="S11" i="714"/>
  <c r="T11" i="714"/>
  <c r="U11" i="714"/>
  <c r="V11" i="714"/>
  <c r="W11" i="714"/>
  <c r="X11" i="714"/>
  <c r="Y11" i="714"/>
  <c r="Z11" i="714"/>
  <c r="AA11" i="714"/>
  <c r="S12" i="714"/>
  <c r="T12" i="714"/>
  <c r="U12" i="714"/>
  <c r="V12" i="714"/>
  <c r="W12" i="714"/>
  <c r="X12" i="714"/>
  <c r="Y12" i="714"/>
  <c r="Z12" i="714"/>
  <c r="AA12" i="714"/>
  <c r="S13" i="714"/>
  <c r="T13" i="714"/>
  <c r="U13" i="714"/>
  <c r="V13" i="714"/>
  <c r="W13" i="714"/>
  <c r="X13" i="714"/>
  <c r="Y13" i="714"/>
  <c r="Z13" i="714"/>
  <c r="AA13" i="714"/>
  <c r="S14" i="714"/>
  <c r="T14" i="714"/>
  <c r="U14" i="714"/>
  <c r="V14" i="714"/>
  <c r="W14" i="714"/>
  <c r="X14" i="714"/>
  <c r="Y14" i="714"/>
  <c r="Z14" i="714"/>
  <c r="AA14" i="714"/>
  <c r="C18" i="714"/>
  <c r="D18" i="714"/>
  <c r="E18" i="714"/>
  <c r="F18" i="714"/>
  <c r="G18" i="714"/>
  <c r="K18" i="714"/>
  <c r="L18" i="714"/>
  <c r="M18" i="714"/>
  <c r="N18" i="714"/>
  <c r="O18" i="714"/>
  <c r="C16" i="714" l="1"/>
  <c r="D16" i="714"/>
  <c r="E16" i="714"/>
  <c r="F16" i="714"/>
  <c r="G16" i="714"/>
  <c r="L16" i="714"/>
  <c r="M16" i="714"/>
  <c r="O16" i="714"/>
  <c r="C17" i="714"/>
  <c r="D17" i="714"/>
  <c r="E17" i="714"/>
  <c r="F17" i="714"/>
  <c r="G17" i="714"/>
  <c r="L17" i="714"/>
  <c r="M17" i="714"/>
  <c r="O17" i="714"/>
  <c r="O15" i="714"/>
  <c r="M15" i="714"/>
  <c r="L15" i="714"/>
  <c r="G15" i="714"/>
  <c r="F15" i="714"/>
  <c r="E15" i="714"/>
  <c r="D15" i="714"/>
  <c r="C15" i="714"/>
  <c r="AA15" i="714"/>
  <c r="Z15" i="714"/>
  <c r="Y15" i="714"/>
  <c r="X15" i="714"/>
  <c r="W15" i="714"/>
  <c r="V15" i="714"/>
  <c r="U15" i="714"/>
  <c r="T15" i="714"/>
  <c r="S15" i="714"/>
  <c r="D10" i="714"/>
  <c r="E10" i="714"/>
  <c r="F10" i="714"/>
  <c r="G10" i="714"/>
  <c r="L10" i="714"/>
  <c r="M10" i="714"/>
  <c r="N10" i="714"/>
  <c r="O10" i="714"/>
  <c r="D11" i="714"/>
  <c r="E11" i="714"/>
  <c r="F11" i="714"/>
  <c r="G11" i="714"/>
  <c r="L11" i="714"/>
  <c r="M11" i="714"/>
  <c r="N11" i="714"/>
  <c r="O11" i="714"/>
  <c r="D12" i="714"/>
  <c r="E12" i="714"/>
  <c r="F12" i="714"/>
  <c r="G12" i="714"/>
  <c r="L12" i="714"/>
  <c r="M12" i="714"/>
  <c r="N12" i="714"/>
  <c r="O12" i="714"/>
  <c r="D13" i="714"/>
  <c r="E13" i="714"/>
  <c r="F13" i="714"/>
  <c r="G13" i="714"/>
  <c r="L13" i="714"/>
  <c r="M13" i="714"/>
  <c r="N13" i="714"/>
  <c r="O13" i="714"/>
  <c r="F67" i="714"/>
  <c r="AY55" i="714"/>
  <c r="AX55" i="714"/>
  <c r="AW55" i="714"/>
  <c r="AV55" i="714"/>
  <c r="AU55" i="714"/>
  <c r="AT55" i="714"/>
  <c r="AS55" i="714"/>
  <c r="AR55" i="714"/>
  <c r="AQ55" i="714"/>
  <c r="AP55" i="714"/>
  <c r="AO55" i="714"/>
  <c r="AN55" i="714"/>
  <c r="AM55" i="714"/>
  <c r="AL55" i="714"/>
  <c r="AK55" i="714"/>
  <c r="AJ55" i="714"/>
  <c r="AI55" i="714"/>
  <c r="AH55" i="714"/>
  <c r="AG55" i="714"/>
  <c r="AF55" i="714"/>
  <c r="AE55" i="714"/>
  <c r="AD55" i="714"/>
  <c r="AC55" i="714"/>
  <c r="AB55" i="714"/>
  <c r="AA55" i="714"/>
  <c r="Z55" i="714"/>
  <c r="Y55" i="714"/>
  <c r="X55" i="714"/>
  <c r="W55" i="714"/>
  <c r="V55" i="714"/>
  <c r="U55" i="714"/>
  <c r="K62" i="714"/>
  <c r="B54" i="714"/>
  <c r="D47" i="714"/>
  <c r="M32" i="714"/>
  <c r="M31" i="714"/>
  <c r="L31" i="714"/>
  <c r="K31" i="714"/>
  <c r="M30" i="714"/>
  <c r="M28" i="714"/>
  <c r="M27" i="714"/>
  <c r="L27" i="714"/>
  <c r="K27" i="714"/>
  <c r="AA24" i="714"/>
  <c r="Z24" i="714"/>
  <c r="Y24" i="714"/>
  <c r="X24" i="714"/>
  <c r="W24" i="714"/>
  <c r="V24" i="714"/>
  <c r="U24" i="714"/>
  <c r="T24" i="714"/>
  <c r="S24" i="714"/>
  <c r="AA23" i="714"/>
  <c r="Z23" i="714"/>
  <c r="Y23" i="714"/>
  <c r="X23" i="714"/>
  <c r="W23" i="714"/>
  <c r="V23" i="714"/>
  <c r="U23" i="714"/>
  <c r="T23" i="714"/>
  <c r="S23" i="714"/>
  <c r="AA22" i="714"/>
  <c r="Z22" i="714"/>
  <c r="Y22" i="714"/>
  <c r="X22" i="714"/>
  <c r="W22" i="714"/>
  <c r="V22" i="714"/>
  <c r="U22" i="714"/>
  <c r="T22" i="714"/>
  <c r="S22" i="714"/>
  <c r="AA21" i="714"/>
  <c r="Z21" i="714"/>
  <c r="Y21" i="714"/>
  <c r="X21" i="714"/>
  <c r="W21" i="714"/>
  <c r="V21" i="714"/>
  <c r="U21" i="714"/>
  <c r="T21" i="714"/>
  <c r="S21" i="714"/>
  <c r="AA16" i="714"/>
  <c r="Z16" i="714"/>
  <c r="Y16" i="714"/>
  <c r="X16" i="714"/>
  <c r="W16" i="714"/>
  <c r="V16" i="714"/>
  <c r="U16" i="714"/>
  <c r="T16" i="714"/>
  <c r="S16" i="714"/>
  <c r="G52" i="713"/>
  <c r="K52" i="713"/>
  <c r="K60" i="713" s="1"/>
  <c r="K49" i="714" l="1"/>
  <c r="B52" i="713"/>
  <c r="K38" i="713"/>
  <c r="K37" i="713"/>
  <c r="K47" i="713" s="1"/>
  <c r="C27" i="713" a="1"/>
  <c r="C27" i="713" s="1"/>
  <c r="C23" i="713" a="1"/>
  <c r="C23" i="713" s="1"/>
  <c r="K23" i="713"/>
  <c r="S13" i="713"/>
  <c r="T13" i="713"/>
  <c r="U13" i="713"/>
  <c r="V13" i="713"/>
  <c r="W13" i="713"/>
  <c r="X13" i="713"/>
  <c r="Y13" i="713"/>
  <c r="Z13" i="713"/>
  <c r="AA13" i="713"/>
  <c r="S14" i="713"/>
  <c r="T14" i="713"/>
  <c r="U14" i="713"/>
  <c r="V14" i="713"/>
  <c r="W14" i="713"/>
  <c r="X14" i="713"/>
  <c r="Y14" i="713"/>
  <c r="Z14" i="713"/>
  <c r="AA14" i="713"/>
  <c r="S15" i="713"/>
  <c r="T15" i="713"/>
  <c r="U15" i="713"/>
  <c r="V15" i="713"/>
  <c r="W15" i="713"/>
  <c r="X15" i="713"/>
  <c r="Y15" i="713"/>
  <c r="Z15" i="713"/>
  <c r="AA15" i="713"/>
  <c r="S16" i="713"/>
  <c r="T16" i="713"/>
  <c r="U16" i="713"/>
  <c r="V16" i="713"/>
  <c r="W16" i="713"/>
  <c r="X16" i="713"/>
  <c r="Y16" i="713"/>
  <c r="Z16" i="713"/>
  <c r="AA16" i="713"/>
  <c r="S17" i="713"/>
  <c r="T17" i="713"/>
  <c r="U17" i="713"/>
  <c r="V17" i="713"/>
  <c r="W17" i="713"/>
  <c r="X17" i="713"/>
  <c r="Y17" i="713"/>
  <c r="Z17" i="713"/>
  <c r="AA17" i="713"/>
  <c r="S18" i="713"/>
  <c r="T18" i="713"/>
  <c r="U18" i="713"/>
  <c r="V18" i="713"/>
  <c r="W18" i="713"/>
  <c r="X18" i="713"/>
  <c r="Y18" i="713"/>
  <c r="Z18" i="713"/>
  <c r="AA18" i="713"/>
  <c r="S19" i="713"/>
  <c r="T19" i="713"/>
  <c r="U19" i="713"/>
  <c r="V19" i="713"/>
  <c r="W19" i="713"/>
  <c r="X19" i="713"/>
  <c r="Y19" i="713"/>
  <c r="Z19" i="713"/>
  <c r="AA19" i="713"/>
  <c r="S20" i="713"/>
  <c r="T20" i="713"/>
  <c r="U20" i="713"/>
  <c r="V20" i="713"/>
  <c r="W20" i="713"/>
  <c r="X20" i="713"/>
  <c r="Y20" i="713"/>
  <c r="Z20" i="713"/>
  <c r="AA20" i="713"/>
  <c r="S21" i="713"/>
  <c r="T21" i="713"/>
  <c r="U21" i="713"/>
  <c r="V21" i="713"/>
  <c r="W21" i="713"/>
  <c r="X21" i="713"/>
  <c r="Y21" i="713"/>
  <c r="Z21" i="713"/>
  <c r="AA21" i="713"/>
  <c r="S22" i="713"/>
  <c r="T22" i="713"/>
  <c r="U22" i="713"/>
  <c r="V22" i="713"/>
  <c r="W22" i="713"/>
  <c r="X22" i="713"/>
  <c r="Y22" i="713"/>
  <c r="Z22" i="713"/>
  <c r="AA22" i="713"/>
  <c r="D14" i="713"/>
  <c r="E14" i="713"/>
  <c r="F14" i="713"/>
  <c r="G14" i="713"/>
  <c r="L14" i="713"/>
  <c r="M14" i="713"/>
  <c r="N14" i="713"/>
  <c r="O14" i="713"/>
  <c r="D15" i="713"/>
  <c r="E15" i="713"/>
  <c r="F15" i="713"/>
  <c r="G15" i="713"/>
  <c r="L15" i="713"/>
  <c r="M15" i="713"/>
  <c r="N15" i="713"/>
  <c r="O15" i="713"/>
  <c r="D16" i="713"/>
  <c r="E16" i="713"/>
  <c r="F16" i="713"/>
  <c r="G16" i="713"/>
  <c r="L16" i="713"/>
  <c r="M16" i="713"/>
  <c r="N16" i="713"/>
  <c r="O16" i="713"/>
  <c r="D17" i="713"/>
  <c r="E17" i="713"/>
  <c r="F17" i="713"/>
  <c r="G17" i="713"/>
  <c r="L17" i="713"/>
  <c r="M17" i="713"/>
  <c r="N17" i="713"/>
  <c r="O17" i="713"/>
  <c r="C10" i="713"/>
  <c r="D10" i="713"/>
  <c r="E10" i="713"/>
  <c r="F10" i="713"/>
  <c r="G10" i="713"/>
  <c r="I10" i="713"/>
  <c r="J10" i="713"/>
  <c r="K10" i="713"/>
  <c r="L10" i="713"/>
  <c r="M10" i="713"/>
  <c r="N10" i="713"/>
  <c r="O10" i="713"/>
  <c r="C11" i="713"/>
  <c r="D11" i="713"/>
  <c r="E11" i="713"/>
  <c r="F11" i="713"/>
  <c r="G11" i="713"/>
  <c r="I11" i="713"/>
  <c r="J11" i="713"/>
  <c r="K11" i="713"/>
  <c r="L11" i="713"/>
  <c r="M11" i="713"/>
  <c r="N11" i="713"/>
  <c r="O11" i="713"/>
  <c r="C12" i="713"/>
  <c r="D12" i="713"/>
  <c r="E12" i="713"/>
  <c r="F12" i="713"/>
  <c r="G12" i="713"/>
  <c r="K12" i="713"/>
  <c r="L12" i="713"/>
  <c r="M12" i="713"/>
  <c r="N12" i="713"/>
  <c r="O12" i="713"/>
  <c r="F65" i="713"/>
  <c r="AY53" i="713"/>
  <c r="AX53" i="713"/>
  <c r="AW53" i="713"/>
  <c r="AV53" i="713"/>
  <c r="AU53" i="713"/>
  <c r="AT53" i="713"/>
  <c r="AS53" i="713"/>
  <c r="AR53" i="713"/>
  <c r="AQ53" i="713"/>
  <c r="AP53" i="713"/>
  <c r="AO53" i="713"/>
  <c r="AN53" i="713"/>
  <c r="AM53" i="713"/>
  <c r="AL53" i="713"/>
  <c r="AK53" i="713"/>
  <c r="AJ53" i="713"/>
  <c r="AI53" i="713"/>
  <c r="AH53" i="713"/>
  <c r="AG53" i="713"/>
  <c r="AF53" i="713"/>
  <c r="AE53" i="713"/>
  <c r="AD53" i="713"/>
  <c r="AC53" i="713"/>
  <c r="AB53" i="713"/>
  <c r="AA53" i="713"/>
  <c r="Z53" i="713"/>
  <c r="Y53" i="713"/>
  <c r="X53" i="713"/>
  <c r="W53" i="713"/>
  <c r="V53" i="713"/>
  <c r="U53" i="713"/>
  <c r="D45" i="713"/>
  <c r="M30" i="713"/>
  <c r="M29" i="713"/>
  <c r="L29" i="713"/>
  <c r="K29" i="713"/>
  <c r="M28" i="713"/>
  <c r="M26" i="713"/>
  <c r="M25" i="713"/>
  <c r="L25" i="713"/>
  <c r="K25" i="713"/>
  <c r="AA12" i="713"/>
  <c r="Z12" i="713"/>
  <c r="Y12" i="713"/>
  <c r="X12" i="713"/>
  <c r="W12" i="713"/>
  <c r="V12" i="713"/>
  <c r="U12" i="713"/>
  <c r="T12" i="713"/>
  <c r="S12" i="713"/>
  <c r="AA11" i="713"/>
  <c r="Z11" i="713"/>
  <c r="Y11" i="713"/>
  <c r="X11" i="713"/>
  <c r="W11" i="713"/>
  <c r="V11" i="713"/>
  <c r="U11" i="713"/>
  <c r="T11" i="713"/>
  <c r="S11" i="713"/>
  <c r="AA10" i="713"/>
  <c r="Z10" i="713"/>
  <c r="Y10" i="713"/>
  <c r="X10" i="713"/>
  <c r="W10" i="713"/>
  <c r="V10" i="713"/>
  <c r="U10" i="713"/>
  <c r="T10" i="713"/>
  <c r="S10" i="713"/>
  <c r="M25" i="712"/>
  <c r="L25" i="712"/>
  <c r="K25" i="712"/>
  <c r="G54" i="712"/>
  <c r="C25" i="712" l="1" a="1"/>
  <c r="C25" i="712" s="1"/>
  <c r="K39" i="712"/>
  <c r="B54" i="712"/>
  <c r="C11" i="712"/>
  <c r="D11" i="712"/>
  <c r="E11" i="712"/>
  <c r="F11" i="712"/>
  <c r="G11" i="712"/>
  <c r="I11" i="712"/>
  <c r="J11" i="712"/>
  <c r="K11" i="712"/>
  <c r="L11" i="712"/>
  <c r="M11" i="712"/>
  <c r="N11" i="712"/>
  <c r="O11" i="712"/>
  <c r="C12" i="712"/>
  <c r="D12" i="712"/>
  <c r="E12" i="712"/>
  <c r="F12" i="712"/>
  <c r="G12" i="712"/>
  <c r="I12" i="712"/>
  <c r="J12" i="712"/>
  <c r="K12" i="712"/>
  <c r="L12" i="712"/>
  <c r="M12" i="712"/>
  <c r="N12" i="712"/>
  <c r="O12" i="712"/>
  <c r="C13" i="712"/>
  <c r="D13" i="712"/>
  <c r="E13" i="712"/>
  <c r="F13" i="712"/>
  <c r="G13" i="712"/>
  <c r="I13" i="712"/>
  <c r="J13" i="712"/>
  <c r="K13" i="712"/>
  <c r="L13" i="712"/>
  <c r="M13" i="712"/>
  <c r="N13" i="712"/>
  <c r="O13" i="712"/>
  <c r="C14" i="712"/>
  <c r="D14" i="712"/>
  <c r="E14" i="712"/>
  <c r="F14" i="712"/>
  <c r="G14" i="712"/>
  <c r="I14" i="712"/>
  <c r="J14" i="712"/>
  <c r="K14" i="712"/>
  <c r="L14" i="712"/>
  <c r="M14" i="712"/>
  <c r="N14" i="712"/>
  <c r="O14" i="712"/>
  <c r="C15" i="712"/>
  <c r="D15" i="712"/>
  <c r="E15" i="712"/>
  <c r="F15" i="712"/>
  <c r="G15" i="712"/>
  <c r="I15" i="712"/>
  <c r="J15" i="712"/>
  <c r="K15" i="712"/>
  <c r="L15" i="712"/>
  <c r="M15" i="712"/>
  <c r="N15" i="712"/>
  <c r="O15" i="712"/>
  <c r="O10" i="712"/>
  <c r="N10" i="712"/>
  <c r="M10" i="712"/>
  <c r="L10" i="712"/>
  <c r="K10" i="712"/>
  <c r="G10" i="712"/>
  <c r="F10" i="712"/>
  <c r="E10" i="712"/>
  <c r="D10" i="712"/>
  <c r="C10" i="712"/>
  <c r="F67" i="712"/>
  <c r="AY55" i="712"/>
  <c r="AX55" i="712"/>
  <c r="AW55" i="712"/>
  <c r="AV55" i="712"/>
  <c r="AU55" i="712"/>
  <c r="AT55" i="712"/>
  <c r="AS55" i="712"/>
  <c r="AR55" i="712"/>
  <c r="AQ55" i="712"/>
  <c r="AP55" i="712"/>
  <c r="AO55" i="712"/>
  <c r="AN55" i="712"/>
  <c r="AM55" i="712"/>
  <c r="AL55" i="712"/>
  <c r="AK55" i="712"/>
  <c r="AJ55" i="712"/>
  <c r="AI55" i="712"/>
  <c r="AH55" i="712"/>
  <c r="AG55" i="712"/>
  <c r="AF55" i="712"/>
  <c r="AE55" i="712"/>
  <c r="AD55" i="712"/>
  <c r="AC55" i="712"/>
  <c r="AB55" i="712"/>
  <c r="AA55" i="712"/>
  <c r="Z55" i="712"/>
  <c r="Y55" i="712"/>
  <c r="X55" i="712"/>
  <c r="W55" i="712"/>
  <c r="V55" i="712"/>
  <c r="U55" i="712"/>
  <c r="K49" i="712"/>
  <c r="D47" i="712"/>
  <c r="M32" i="712"/>
  <c r="M31" i="712"/>
  <c r="L31" i="712"/>
  <c r="K31" i="712"/>
  <c r="M30" i="712"/>
  <c r="M28" i="712"/>
  <c r="M27" i="712"/>
  <c r="L27" i="712"/>
  <c r="K27" i="712"/>
  <c r="AA22" i="712"/>
  <c r="Z22" i="712"/>
  <c r="Y22" i="712"/>
  <c r="X22" i="712"/>
  <c r="W22" i="712"/>
  <c r="V22" i="712"/>
  <c r="U22" i="712"/>
  <c r="T22" i="712"/>
  <c r="S22" i="712"/>
  <c r="AA21" i="712"/>
  <c r="Z21" i="712"/>
  <c r="Y21" i="712"/>
  <c r="X21" i="712"/>
  <c r="W21" i="712"/>
  <c r="V21" i="712"/>
  <c r="U21" i="712"/>
  <c r="T21" i="712"/>
  <c r="S21" i="712"/>
  <c r="AA20" i="712"/>
  <c r="Z20" i="712"/>
  <c r="Y20" i="712"/>
  <c r="X20" i="712"/>
  <c r="W20" i="712"/>
  <c r="V20" i="712"/>
  <c r="U20" i="712"/>
  <c r="T20" i="712"/>
  <c r="S20" i="712"/>
  <c r="AA19" i="712"/>
  <c r="Z19" i="712"/>
  <c r="Y19" i="712"/>
  <c r="X19" i="712"/>
  <c r="W19" i="712"/>
  <c r="V19" i="712"/>
  <c r="U19" i="712"/>
  <c r="T19" i="712"/>
  <c r="S19" i="712"/>
  <c r="AA18" i="712"/>
  <c r="Z18" i="712"/>
  <c r="Y18" i="712"/>
  <c r="X18" i="712"/>
  <c r="W18" i="712"/>
  <c r="V18" i="712"/>
  <c r="U18" i="712"/>
  <c r="T18" i="712"/>
  <c r="S18" i="712"/>
  <c r="AA17" i="712"/>
  <c r="Z17" i="712"/>
  <c r="Y17" i="712"/>
  <c r="X17" i="712"/>
  <c r="W17" i="712"/>
  <c r="V17" i="712"/>
  <c r="U17" i="712"/>
  <c r="T17" i="712"/>
  <c r="S17" i="712"/>
  <c r="AA16" i="712"/>
  <c r="Z16" i="712"/>
  <c r="Y16" i="712"/>
  <c r="X16" i="712"/>
  <c r="W16" i="712"/>
  <c r="V16" i="712"/>
  <c r="U16" i="712"/>
  <c r="T16" i="712"/>
  <c r="S16" i="712"/>
  <c r="AA15" i="712"/>
  <c r="Z15" i="712"/>
  <c r="Y15" i="712"/>
  <c r="X15" i="712"/>
  <c r="W15" i="712"/>
  <c r="V15" i="712"/>
  <c r="U15" i="712"/>
  <c r="T15" i="712"/>
  <c r="S15" i="712"/>
  <c r="AA14" i="712"/>
  <c r="Z14" i="712"/>
  <c r="Y14" i="712"/>
  <c r="X14" i="712"/>
  <c r="W14" i="712"/>
  <c r="V14" i="712"/>
  <c r="U14" i="712"/>
  <c r="T14" i="712"/>
  <c r="S14" i="712"/>
  <c r="AA13" i="712"/>
  <c r="Z13" i="712"/>
  <c r="Y13" i="712"/>
  <c r="X13" i="712"/>
  <c r="W13" i="712"/>
  <c r="V13" i="712"/>
  <c r="U13" i="712"/>
  <c r="T13" i="712"/>
  <c r="S13" i="712"/>
  <c r="AA12" i="712"/>
  <c r="Z12" i="712"/>
  <c r="Y12" i="712"/>
  <c r="X12" i="712"/>
  <c r="W12" i="712"/>
  <c r="V12" i="712"/>
  <c r="U12" i="712"/>
  <c r="T12" i="712"/>
  <c r="S12" i="712"/>
  <c r="AA11" i="712"/>
  <c r="Z11" i="712"/>
  <c r="Y11" i="712"/>
  <c r="X11" i="712"/>
  <c r="W11" i="712"/>
  <c r="V11" i="712"/>
  <c r="U11" i="712"/>
  <c r="T11" i="712"/>
  <c r="S11" i="712"/>
  <c r="AA10" i="712"/>
  <c r="Z10" i="712"/>
  <c r="Y10" i="712"/>
  <c r="X10" i="712"/>
  <c r="W10" i="712"/>
  <c r="V10" i="712"/>
  <c r="U10" i="712"/>
  <c r="T10" i="712"/>
  <c r="S10" i="712"/>
  <c r="K54" i="711" l="1"/>
  <c r="K64" i="711" s="1"/>
  <c r="K54" i="712"/>
  <c r="K68" i="712" s="1"/>
  <c r="M27" i="711"/>
  <c r="L27" i="711"/>
  <c r="K27" i="711"/>
  <c r="G54" i="711"/>
  <c r="K41" i="711"/>
  <c r="J56" i="18" l="1"/>
  <c r="C25" i="711" a="1"/>
  <c r="C25" i="711" s="1"/>
  <c r="B54" i="711"/>
  <c r="S13" i="711"/>
  <c r="T13" i="711"/>
  <c r="U13" i="711"/>
  <c r="V13" i="711"/>
  <c r="W13" i="711"/>
  <c r="X13" i="711"/>
  <c r="Y13" i="711"/>
  <c r="Z13" i="711"/>
  <c r="AA13" i="711"/>
  <c r="S14" i="711"/>
  <c r="T14" i="711"/>
  <c r="U14" i="711"/>
  <c r="V14" i="711"/>
  <c r="W14" i="711"/>
  <c r="X14" i="711"/>
  <c r="Y14" i="711"/>
  <c r="Z14" i="711"/>
  <c r="AA14" i="711"/>
  <c r="S15" i="711"/>
  <c r="T15" i="711"/>
  <c r="U15" i="711"/>
  <c r="V15" i="711"/>
  <c r="W15" i="711"/>
  <c r="X15" i="711"/>
  <c r="Y15" i="711"/>
  <c r="Z15" i="711"/>
  <c r="AA15" i="711"/>
  <c r="S16" i="711"/>
  <c r="T16" i="711"/>
  <c r="U16" i="711"/>
  <c r="V16" i="711"/>
  <c r="W16" i="711"/>
  <c r="X16" i="711"/>
  <c r="Y16" i="711"/>
  <c r="Z16" i="711"/>
  <c r="AA16" i="711"/>
  <c r="S17" i="711"/>
  <c r="T17" i="711"/>
  <c r="U17" i="711"/>
  <c r="V17" i="711"/>
  <c r="W17" i="711"/>
  <c r="X17" i="711"/>
  <c r="Y17" i="711"/>
  <c r="Z17" i="711"/>
  <c r="AA17" i="711"/>
  <c r="S18" i="711"/>
  <c r="T18" i="711"/>
  <c r="U18" i="711"/>
  <c r="V18" i="711"/>
  <c r="W18" i="711"/>
  <c r="X18" i="711"/>
  <c r="Y18" i="711"/>
  <c r="Z18" i="711"/>
  <c r="AA18" i="711"/>
  <c r="S19" i="711"/>
  <c r="T19" i="711"/>
  <c r="U19" i="711"/>
  <c r="V19" i="711"/>
  <c r="W19" i="711"/>
  <c r="X19" i="711"/>
  <c r="Y19" i="711"/>
  <c r="Z19" i="711"/>
  <c r="AA19" i="711"/>
  <c r="S20" i="711"/>
  <c r="T20" i="711"/>
  <c r="U20" i="711"/>
  <c r="V20" i="711"/>
  <c r="W20" i="711"/>
  <c r="X20" i="711"/>
  <c r="Y20" i="711"/>
  <c r="Z20" i="711"/>
  <c r="AA20" i="711"/>
  <c r="C11" i="711"/>
  <c r="D11" i="711"/>
  <c r="E11" i="711"/>
  <c r="F11" i="711"/>
  <c r="G11" i="711"/>
  <c r="I11" i="711"/>
  <c r="J11" i="711"/>
  <c r="L11" i="711"/>
  <c r="M11" i="711"/>
  <c r="N11" i="711"/>
  <c r="O11" i="711"/>
  <c r="C12" i="711"/>
  <c r="D12" i="711"/>
  <c r="E12" i="711"/>
  <c r="F12" i="711"/>
  <c r="G12" i="711"/>
  <c r="I12" i="711"/>
  <c r="J12" i="711"/>
  <c r="L12" i="711"/>
  <c r="M12" i="711"/>
  <c r="N12" i="711"/>
  <c r="O12" i="711"/>
  <c r="C13" i="711"/>
  <c r="D13" i="711"/>
  <c r="E13" i="711"/>
  <c r="F13" i="711"/>
  <c r="G13" i="711"/>
  <c r="I13" i="711"/>
  <c r="J13" i="711"/>
  <c r="L13" i="711"/>
  <c r="M13" i="711"/>
  <c r="N13" i="711"/>
  <c r="O13" i="711"/>
  <c r="C14" i="711"/>
  <c r="D14" i="711"/>
  <c r="E14" i="711"/>
  <c r="F14" i="711"/>
  <c r="G14" i="711"/>
  <c r="I14" i="711"/>
  <c r="J14" i="711"/>
  <c r="L14" i="711"/>
  <c r="M14" i="711"/>
  <c r="N14" i="711"/>
  <c r="O14" i="711"/>
  <c r="C15" i="711"/>
  <c r="D15" i="711"/>
  <c r="E15" i="711"/>
  <c r="F15" i="711"/>
  <c r="G15" i="711"/>
  <c r="I15" i="711"/>
  <c r="J15" i="711"/>
  <c r="L15" i="711"/>
  <c r="M15" i="711"/>
  <c r="N15" i="711"/>
  <c r="O15" i="711"/>
  <c r="C16" i="711"/>
  <c r="D16" i="711"/>
  <c r="E16" i="711"/>
  <c r="F16" i="711"/>
  <c r="G16" i="711"/>
  <c r="I16" i="711"/>
  <c r="J16" i="711"/>
  <c r="L16" i="711"/>
  <c r="M16" i="711"/>
  <c r="N16" i="711"/>
  <c r="O16" i="711"/>
  <c r="C17" i="711"/>
  <c r="D17" i="711"/>
  <c r="E17" i="711"/>
  <c r="F17" i="711"/>
  <c r="G17" i="711"/>
  <c r="I17" i="711"/>
  <c r="J17" i="711"/>
  <c r="L17" i="711"/>
  <c r="M17" i="711"/>
  <c r="N17" i="711"/>
  <c r="O17" i="711"/>
  <c r="O10" i="711"/>
  <c r="N10" i="711"/>
  <c r="M10" i="711"/>
  <c r="L10" i="711"/>
  <c r="J10" i="711"/>
  <c r="I10" i="711"/>
  <c r="G10" i="711"/>
  <c r="F10" i="711"/>
  <c r="E10" i="711"/>
  <c r="D10" i="711"/>
  <c r="J27" i="711" l="1"/>
  <c r="F67" i="711"/>
  <c r="AY55" i="711"/>
  <c r="AX55" i="711"/>
  <c r="AW55" i="711"/>
  <c r="AV55" i="711"/>
  <c r="AU55" i="711"/>
  <c r="AT55" i="711"/>
  <c r="AS55" i="711"/>
  <c r="AR55" i="711"/>
  <c r="AQ55" i="711"/>
  <c r="AP55" i="711"/>
  <c r="AO55" i="711"/>
  <c r="AN55" i="711"/>
  <c r="AM55" i="711"/>
  <c r="AL55" i="711"/>
  <c r="AK55" i="711"/>
  <c r="AJ55" i="711"/>
  <c r="AI55" i="711"/>
  <c r="AH55" i="711"/>
  <c r="AG55" i="711"/>
  <c r="AF55" i="711"/>
  <c r="AE55" i="711"/>
  <c r="AD55" i="711"/>
  <c r="AC55" i="711"/>
  <c r="AB55" i="711"/>
  <c r="AA55" i="711"/>
  <c r="Z55" i="711"/>
  <c r="Y55" i="711"/>
  <c r="X55" i="711"/>
  <c r="W55" i="711"/>
  <c r="V55" i="711"/>
  <c r="U55" i="711"/>
  <c r="D47" i="711"/>
  <c r="K49" i="711"/>
  <c r="M32" i="711"/>
  <c r="M31" i="711"/>
  <c r="L31" i="711"/>
  <c r="K31" i="711"/>
  <c r="M30" i="711"/>
  <c r="M28" i="711"/>
  <c r="K25" i="711"/>
  <c r="AA22" i="711"/>
  <c r="Z22" i="711"/>
  <c r="Y22" i="711"/>
  <c r="X22" i="711"/>
  <c r="W22" i="711"/>
  <c r="V22" i="711"/>
  <c r="U22" i="711"/>
  <c r="T22" i="711"/>
  <c r="S22" i="711"/>
  <c r="AA21" i="711"/>
  <c r="Z21" i="711"/>
  <c r="Y21" i="711"/>
  <c r="X21" i="711"/>
  <c r="W21" i="711"/>
  <c r="V21" i="711"/>
  <c r="U21" i="711"/>
  <c r="T21" i="711"/>
  <c r="S21" i="711"/>
  <c r="AA12" i="711"/>
  <c r="Z12" i="711"/>
  <c r="Y12" i="711"/>
  <c r="X12" i="711"/>
  <c r="W12" i="711"/>
  <c r="V12" i="711"/>
  <c r="U12" i="711"/>
  <c r="T12" i="711"/>
  <c r="S12" i="711"/>
  <c r="AA11" i="711"/>
  <c r="Z11" i="711"/>
  <c r="Y11" i="711"/>
  <c r="X11" i="711"/>
  <c r="W11" i="711"/>
  <c r="V11" i="711"/>
  <c r="U11" i="711"/>
  <c r="T11" i="711"/>
  <c r="S11" i="711"/>
  <c r="AA10" i="711"/>
  <c r="Z10" i="711"/>
  <c r="Y10" i="711"/>
  <c r="X10" i="711"/>
  <c r="W10" i="711"/>
  <c r="V10" i="711"/>
  <c r="U10" i="711"/>
  <c r="T10" i="711"/>
  <c r="S10" i="711"/>
  <c r="K43" i="710" l="1"/>
  <c r="J43" i="710"/>
  <c r="C28" i="710" l="1" a="1"/>
  <c r="C28" i="710" s="1"/>
  <c r="K57" i="710"/>
  <c r="K66" i="710" s="1"/>
  <c r="G57" i="710"/>
  <c r="B57" i="710" l="1"/>
  <c r="B28" i="710"/>
  <c r="K28" i="710"/>
  <c r="J42" i="710" l="1"/>
  <c r="J52" i="710" s="1"/>
  <c r="S11" i="710"/>
  <c r="T11" i="710"/>
  <c r="U11" i="710"/>
  <c r="V11" i="710"/>
  <c r="W11" i="710"/>
  <c r="X11" i="710"/>
  <c r="Y11" i="710"/>
  <c r="Z11" i="710"/>
  <c r="AA11" i="710"/>
  <c r="S12" i="710"/>
  <c r="T12" i="710"/>
  <c r="U12" i="710"/>
  <c r="V12" i="710"/>
  <c r="W12" i="710"/>
  <c r="X12" i="710"/>
  <c r="Y12" i="710"/>
  <c r="Z12" i="710"/>
  <c r="AA12" i="710"/>
  <c r="S14" i="710"/>
  <c r="T14" i="710"/>
  <c r="U14" i="710"/>
  <c r="V14" i="710"/>
  <c r="W14" i="710"/>
  <c r="X14" i="710"/>
  <c r="Y14" i="710"/>
  <c r="Z14" i="710"/>
  <c r="AA14" i="710"/>
  <c r="S15" i="710"/>
  <c r="T15" i="710"/>
  <c r="U15" i="710"/>
  <c r="V15" i="710"/>
  <c r="W15" i="710"/>
  <c r="X15" i="710"/>
  <c r="Y15" i="710"/>
  <c r="Z15" i="710"/>
  <c r="AA15" i="710"/>
  <c r="S18" i="710"/>
  <c r="T18" i="710"/>
  <c r="U18" i="710"/>
  <c r="V18" i="710"/>
  <c r="W18" i="710"/>
  <c r="X18" i="710"/>
  <c r="Y18" i="710"/>
  <c r="Z18" i="710"/>
  <c r="AA18" i="710"/>
  <c r="S19" i="710"/>
  <c r="T19" i="710"/>
  <c r="U19" i="710"/>
  <c r="V19" i="710"/>
  <c r="W19" i="710"/>
  <c r="X19" i="710"/>
  <c r="Y19" i="710"/>
  <c r="Z19" i="710"/>
  <c r="AA19" i="710"/>
  <c r="S20" i="710"/>
  <c r="T20" i="710"/>
  <c r="U20" i="710"/>
  <c r="V20" i="710"/>
  <c r="W20" i="710"/>
  <c r="X20" i="710"/>
  <c r="Y20" i="710"/>
  <c r="Z20" i="710"/>
  <c r="AA20" i="710"/>
  <c r="S21" i="710"/>
  <c r="T21" i="710"/>
  <c r="U21" i="710"/>
  <c r="V21" i="710"/>
  <c r="W21" i="710"/>
  <c r="X21" i="710"/>
  <c r="Y21" i="710"/>
  <c r="Z21" i="710"/>
  <c r="AA21" i="710"/>
  <c r="D14" i="710"/>
  <c r="E14" i="710"/>
  <c r="F14" i="710"/>
  <c r="G14" i="710"/>
  <c r="L14" i="710"/>
  <c r="M14" i="710"/>
  <c r="N14" i="710"/>
  <c r="O14" i="710"/>
  <c r="D18" i="710"/>
  <c r="E18" i="710"/>
  <c r="F18" i="710"/>
  <c r="G18" i="710"/>
  <c r="L18" i="710"/>
  <c r="M18" i="710"/>
  <c r="N18" i="710"/>
  <c r="O18" i="710"/>
  <c r="D19" i="710"/>
  <c r="E19" i="710"/>
  <c r="F19" i="710"/>
  <c r="G19" i="710"/>
  <c r="L19" i="710"/>
  <c r="M19" i="710"/>
  <c r="N19" i="710"/>
  <c r="O19" i="710"/>
  <c r="O15" i="710"/>
  <c r="N15" i="710"/>
  <c r="M15" i="710"/>
  <c r="L15" i="710"/>
  <c r="G15" i="710"/>
  <c r="F15" i="710"/>
  <c r="E15" i="710"/>
  <c r="D15" i="710"/>
  <c r="I10" i="710"/>
  <c r="J10" i="710"/>
  <c r="K10" i="710"/>
  <c r="L10" i="710"/>
  <c r="M10" i="710"/>
  <c r="N10" i="710"/>
  <c r="O10" i="710"/>
  <c r="I11" i="710"/>
  <c r="J11" i="710"/>
  <c r="K11" i="710"/>
  <c r="L11" i="710"/>
  <c r="M11" i="710"/>
  <c r="N11" i="710"/>
  <c r="O11" i="710"/>
  <c r="K12" i="710"/>
  <c r="L12" i="710"/>
  <c r="M12" i="710"/>
  <c r="N12" i="710"/>
  <c r="O12" i="710"/>
  <c r="C10" i="710"/>
  <c r="D10" i="710"/>
  <c r="E10" i="710"/>
  <c r="F10" i="710"/>
  <c r="G10" i="710"/>
  <c r="C11" i="710"/>
  <c r="D11" i="710"/>
  <c r="E11" i="710"/>
  <c r="F11" i="710"/>
  <c r="G11" i="710"/>
  <c r="C12" i="710"/>
  <c r="D12" i="710"/>
  <c r="E12" i="710"/>
  <c r="F12" i="710"/>
  <c r="G12" i="710"/>
  <c r="F70" i="710"/>
  <c r="AY58" i="710"/>
  <c r="AX58" i="710"/>
  <c r="AW58" i="710"/>
  <c r="AV58" i="710"/>
  <c r="AU58" i="710"/>
  <c r="AT58" i="710"/>
  <c r="AS58" i="710"/>
  <c r="AR58" i="710"/>
  <c r="AQ58" i="710"/>
  <c r="AP58" i="710"/>
  <c r="AO58" i="710"/>
  <c r="AN58" i="710"/>
  <c r="AM58" i="710"/>
  <c r="AL58" i="710"/>
  <c r="AK58" i="710"/>
  <c r="AJ58" i="710"/>
  <c r="AI58" i="710"/>
  <c r="AH58" i="710"/>
  <c r="AG58" i="710"/>
  <c r="AF58" i="710"/>
  <c r="AE58" i="710"/>
  <c r="AD58" i="710"/>
  <c r="AC58" i="710"/>
  <c r="AB58" i="710"/>
  <c r="AA58" i="710"/>
  <c r="Z58" i="710"/>
  <c r="Y58" i="710"/>
  <c r="X58" i="710"/>
  <c r="W58" i="710"/>
  <c r="V58" i="710"/>
  <c r="U58" i="710"/>
  <c r="K52" i="710"/>
  <c r="D50" i="710"/>
  <c r="M35" i="710"/>
  <c r="M34" i="710"/>
  <c r="L34" i="710"/>
  <c r="K34" i="710"/>
  <c r="M33" i="710"/>
  <c r="M31" i="710"/>
  <c r="M30" i="710"/>
  <c r="AA25" i="710"/>
  <c r="Z25" i="710"/>
  <c r="Y25" i="710"/>
  <c r="X25" i="710"/>
  <c r="W25" i="710"/>
  <c r="V25" i="710"/>
  <c r="U25" i="710"/>
  <c r="T25" i="710"/>
  <c r="S25" i="710"/>
  <c r="AA24" i="710"/>
  <c r="Z24" i="710"/>
  <c r="Y24" i="710"/>
  <c r="X24" i="710"/>
  <c r="W24" i="710"/>
  <c r="V24" i="710"/>
  <c r="U24" i="710"/>
  <c r="T24" i="710"/>
  <c r="S24" i="710"/>
  <c r="AA23" i="710"/>
  <c r="Z23" i="710"/>
  <c r="Y23" i="710"/>
  <c r="X23" i="710"/>
  <c r="W23" i="710"/>
  <c r="V23" i="710"/>
  <c r="U23" i="710"/>
  <c r="T23" i="710"/>
  <c r="S23" i="710"/>
  <c r="AA22" i="710"/>
  <c r="Z22" i="710"/>
  <c r="Y22" i="710"/>
  <c r="X22" i="710"/>
  <c r="W22" i="710"/>
  <c r="V22" i="710"/>
  <c r="U22" i="710"/>
  <c r="T22" i="710"/>
  <c r="S22" i="710"/>
  <c r="AA10" i="710"/>
  <c r="Z10" i="710"/>
  <c r="Y10" i="710"/>
  <c r="X10" i="710"/>
  <c r="W10" i="710"/>
  <c r="V10" i="710"/>
  <c r="U10" i="710"/>
  <c r="T10" i="710"/>
  <c r="S10" i="710"/>
  <c r="K41" i="708"/>
  <c r="D12" i="708"/>
  <c r="E12" i="708"/>
  <c r="F12" i="708"/>
  <c r="G12" i="708"/>
  <c r="L12" i="708"/>
  <c r="M12" i="708"/>
  <c r="N12" i="708"/>
  <c r="O12" i="708"/>
  <c r="G55" i="709" l="1"/>
  <c r="K55" i="709"/>
  <c r="K64" i="709" s="1"/>
  <c r="K40" i="709" l="1"/>
  <c r="C26" i="709" a="1"/>
  <c r="C26" i="709" s="1"/>
  <c r="L26" i="709"/>
  <c r="M26" i="709"/>
  <c r="K26" i="709"/>
  <c r="K40" i="708"/>
  <c r="K26" i="708"/>
  <c r="L26" i="708"/>
  <c r="M26" i="708"/>
  <c r="I19" i="708"/>
  <c r="J19" i="708"/>
  <c r="K19" i="708"/>
  <c r="L19" i="708"/>
  <c r="M19" i="708"/>
  <c r="N19" i="708"/>
  <c r="O19" i="708"/>
  <c r="C19" i="708"/>
  <c r="D19" i="708"/>
  <c r="E19" i="708"/>
  <c r="F19" i="708"/>
  <c r="G19" i="708"/>
  <c r="S10" i="709"/>
  <c r="T10" i="709"/>
  <c r="U10" i="709"/>
  <c r="V10" i="709"/>
  <c r="W10" i="709"/>
  <c r="X10" i="709"/>
  <c r="Y10" i="709"/>
  <c r="Z10" i="709"/>
  <c r="AA10" i="709"/>
  <c r="S11" i="709"/>
  <c r="T11" i="709"/>
  <c r="U11" i="709"/>
  <c r="V11" i="709"/>
  <c r="W11" i="709"/>
  <c r="X11" i="709"/>
  <c r="Y11" i="709"/>
  <c r="Z11" i="709"/>
  <c r="AA11" i="709"/>
  <c r="S12" i="709"/>
  <c r="T12" i="709"/>
  <c r="U12" i="709"/>
  <c r="V12" i="709"/>
  <c r="W12" i="709"/>
  <c r="X12" i="709"/>
  <c r="Y12" i="709"/>
  <c r="Z12" i="709"/>
  <c r="AA12" i="709"/>
  <c r="S13" i="709"/>
  <c r="T13" i="709"/>
  <c r="U13" i="709"/>
  <c r="V13" i="709"/>
  <c r="W13" i="709"/>
  <c r="X13" i="709"/>
  <c r="Y13" i="709"/>
  <c r="Z13" i="709"/>
  <c r="AA13" i="709"/>
  <c r="S14" i="709"/>
  <c r="T14" i="709"/>
  <c r="U14" i="709"/>
  <c r="V14" i="709"/>
  <c r="W14" i="709"/>
  <c r="X14" i="709"/>
  <c r="Y14" i="709"/>
  <c r="Z14" i="709"/>
  <c r="AA14" i="709"/>
  <c r="S15" i="709"/>
  <c r="T15" i="709"/>
  <c r="U15" i="709"/>
  <c r="V15" i="709"/>
  <c r="W15" i="709"/>
  <c r="X15" i="709"/>
  <c r="Y15" i="709"/>
  <c r="Z15" i="709"/>
  <c r="AA15" i="709"/>
  <c r="S16" i="709"/>
  <c r="T16" i="709"/>
  <c r="U16" i="709"/>
  <c r="V16" i="709"/>
  <c r="W16" i="709"/>
  <c r="X16" i="709"/>
  <c r="Y16" i="709"/>
  <c r="Z16" i="709"/>
  <c r="AA16" i="709"/>
  <c r="S17" i="709"/>
  <c r="T17" i="709"/>
  <c r="U17" i="709"/>
  <c r="V17" i="709"/>
  <c r="W17" i="709"/>
  <c r="X17" i="709"/>
  <c r="Y17" i="709"/>
  <c r="Z17" i="709"/>
  <c r="AA17" i="709"/>
  <c r="S18" i="709"/>
  <c r="T18" i="709"/>
  <c r="U18" i="709"/>
  <c r="V18" i="709"/>
  <c r="W18" i="709"/>
  <c r="X18" i="709"/>
  <c r="Y18" i="709"/>
  <c r="Z18" i="709"/>
  <c r="AA18" i="709"/>
  <c r="N16" i="708"/>
  <c r="N17" i="708"/>
  <c r="N18" i="708"/>
  <c r="N14" i="708"/>
  <c r="M17" i="708"/>
  <c r="M18" i="708"/>
  <c r="M14" i="708"/>
  <c r="M15" i="708"/>
  <c r="K18" i="708"/>
  <c r="J16" i="708"/>
  <c r="J17" i="708"/>
  <c r="J18" i="708"/>
  <c r="J14" i="708"/>
  <c r="I16" i="708"/>
  <c r="I17" i="708"/>
  <c r="I18" i="708"/>
  <c r="I14" i="708"/>
  <c r="F16" i="708"/>
  <c r="F17" i="708"/>
  <c r="F18" i="708"/>
  <c r="F14" i="708"/>
  <c r="E16" i="708"/>
  <c r="E17" i="708"/>
  <c r="E18" i="708"/>
  <c r="E14" i="708"/>
  <c r="D15" i="708"/>
  <c r="D16" i="708"/>
  <c r="D17" i="708"/>
  <c r="D18" i="708"/>
  <c r="B55" i="709"/>
  <c r="M10" i="709" l="1"/>
  <c r="N10" i="709"/>
  <c r="M11" i="709"/>
  <c r="N11" i="709"/>
  <c r="M12" i="709"/>
  <c r="N12" i="709"/>
  <c r="M13" i="709"/>
  <c r="N13" i="709"/>
  <c r="M14" i="709"/>
  <c r="N14" i="709"/>
  <c r="M15" i="709"/>
  <c r="N15" i="709"/>
  <c r="M16" i="709"/>
  <c r="N16" i="709"/>
  <c r="I10" i="709"/>
  <c r="J10" i="709"/>
  <c r="I11" i="709"/>
  <c r="J11" i="709"/>
  <c r="I12" i="709"/>
  <c r="J12" i="709"/>
  <c r="I13" i="709"/>
  <c r="J13" i="709"/>
  <c r="I14" i="709"/>
  <c r="J14" i="709"/>
  <c r="I15" i="709"/>
  <c r="J15" i="709"/>
  <c r="I16" i="709"/>
  <c r="J16" i="709"/>
  <c r="E10" i="709"/>
  <c r="F10" i="709"/>
  <c r="E11" i="709"/>
  <c r="F11" i="709"/>
  <c r="E12" i="709"/>
  <c r="F12" i="709"/>
  <c r="E13" i="709"/>
  <c r="F13" i="709"/>
  <c r="E14" i="709"/>
  <c r="F14" i="709"/>
  <c r="E15" i="709"/>
  <c r="F15" i="709"/>
  <c r="E16" i="709"/>
  <c r="F16" i="709"/>
  <c r="C10" i="709"/>
  <c r="D10" i="709"/>
  <c r="G10" i="709"/>
  <c r="K10" i="709"/>
  <c r="L10" i="709"/>
  <c r="O10" i="709"/>
  <c r="C11" i="709"/>
  <c r="D11" i="709"/>
  <c r="G11" i="709"/>
  <c r="K11" i="709"/>
  <c r="L11" i="709"/>
  <c r="O11" i="709"/>
  <c r="C12" i="709"/>
  <c r="D12" i="709"/>
  <c r="G12" i="709"/>
  <c r="K12" i="709"/>
  <c r="L12" i="709"/>
  <c r="O12" i="709"/>
  <c r="C13" i="709"/>
  <c r="D13" i="709"/>
  <c r="G13" i="709"/>
  <c r="K13" i="709"/>
  <c r="L13" i="709"/>
  <c r="O13" i="709"/>
  <c r="C14" i="709"/>
  <c r="D14" i="709"/>
  <c r="G14" i="709"/>
  <c r="K14" i="709"/>
  <c r="L14" i="709"/>
  <c r="O14" i="709"/>
  <c r="C15" i="709"/>
  <c r="D15" i="709"/>
  <c r="G15" i="709"/>
  <c r="K15" i="709"/>
  <c r="L15" i="709"/>
  <c r="O15" i="709"/>
  <c r="C16" i="709"/>
  <c r="D16" i="709"/>
  <c r="G16" i="709"/>
  <c r="K16" i="709"/>
  <c r="L16" i="709"/>
  <c r="O16" i="709"/>
  <c r="F68" i="709"/>
  <c r="AY56" i="709"/>
  <c r="AX56" i="709"/>
  <c r="AW56" i="709"/>
  <c r="AV56" i="709"/>
  <c r="AU56" i="709"/>
  <c r="AT56" i="709"/>
  <c r="AS56" i="709"/>
  <c r="AR56" i="709"/>
  <c r="AQ56" i="709"/>
  <c r="AP56" i="709"/>
  <c r="AO56" i="709"/>
  <c r="AN56" i="709"/>
  <c r="AM56" i="709"/>
  <c r="AL56" i="709"/>
  <c r="AK56" i="709"/>
  <c r="AJ56" i="709"/>
  <c r="AI56" i="709"/>
  <c r="AH56" i="709"/>
  <c r="AG56" i="709"/>
  <c r="AF56" i="709"/>
  <c r="AE56" i="709"/>
  <c r="AD56" i="709"/>
  <c r="AC56" i="709"/>
  <c r="AB56" i="709"/>
  <c r="AA56" i="709"/>
  <c r="Z56" i="709"/>
  <c r="Y56" i="709"/>
  <c r="X56" i="709"/>
  <c r="W56" i="709"/>
  <c r="V56" i="709"/>
  <c r="U56" i="709"/>
  <c r="D48" i="709"/>
  <c r="M33" i="709"/>
  <c r="M32" i="709"/>
  <c r="L32" i="709"/>
  <c r="K32" i="709"/>
  <c r="M31" i="709"/>
  <c r="M29" i="709"/>
  <c r="M28" i="709"/>
  <c r="S23" i="709"/>
  <c r="S22" i="709"/>
  <c r="S21" i="709"/>
  <c r="S20" i="709"/>
  <c r="S19" i="709"/>
  <c r="J26" i="709" l="1"/>
  <c r="K50" i="709"/>
  <c r="K57" i="708"/>
  <c r="K70" i="708" s="1"/>
  <c r="K55" i="708"/>
  <c r="K66" i="708" s="1"/>
  <c r="G55" i="708" l="1"/>
  <c r="G57" i="708"/>
  <c r="B57" i="708"/>
  <c r="C38" i="708" a="1"/>
  <c r="C38" i="708" s="1"/>
  <c r="C28" i="708" a="1"/>
  <c r="C28" i="708" s="1"/>
  <c r="C26" i="708" a="1"/>
  <c r="C26" i="708" s="1"/>
  <c r="B55" i="708"/>
  <c r="C14" i="708"/>
  <c r="D14" i="708"/>
  <c r="G14" i="708"/>
  <c r="K14" i="708"/>
  <c r="L14" i="708"/>
  <c r="O14" i="708"/>
  <c r="C15" i="708"/>
  <c r="E15" i="708"/>
  <c r="F15" i="708"/>
  <c r="G15" i="708"/>
  <c r="I15" i="708"/>
  <c r="J26" i="708" s="1"/>
  <c r="J15" i="708"/>
  <c r="K15" i="708"/>
  <c r="L15" i="708"/>
  <c r="N15" i="708"/>
  <c r="O15" i="708"/>
  <c r="C16" i="708"/>
  <c r="G16" i="708"/>
  <c r="K16" i="708"/>
  <c r="L16" i="708"/>
  <c r="M16" i="708"/>
  <c r="O16" i="708"/>
  <c r="C17" i="708"/>
  <c r="G17" i="708"/>
  <c r="K17" i="708"/>
  <c r="L17" i="708"/>
  <c r="O17" i="708"/>
  <c r="C18" i="708"/>
  <c r="G18" i="708"/>
  <c r="L18" i="708"/>
  <c r="O18" i="708"/>
  <c r="D11" i="708"/>
  <c r="E11" i="708"/>
  <c r="F11" i="708"/>
  <c r="G11" i="708"/>
  <c r="L11" i="708"/>
  <c r="M11" i="708"/>
  <c r="N11" i="708"/>
  <c r="O11" i="708"/>
  <c r="F69" i="708" l="1"/>
  <c r="AY56" i="708"/>
  <c r="AX56" i="708"/>
  <c r="AW56" i="708"/>
  <c r="AV56" i="708"/>
  <c r="AU56" i="708"/>
  <c r="AT56" i="708"/>
  <c r="AS56" i="708"/>
  <c r="AR56" i="708"/>
  <c r="AQ56" i="708"/>
  <c r="AP56" i="708"/>
  <c r="AO56" i="708"/>
  <c r="AN56" i="708"/>
  <c r="AM56" i="708"/>
  <c r="AL56" i="708"/>
  <c r="AK56" i="708"/>
  <c r="AJ56" i="708"/>
  <c r="AI56" i="708"/>
  <c r="AH56" i="708"/>
  <c r="AG56" i="708"/>
  <c r="AF56" i="708"/>
  <c r="AE56" i="708"/>
  <c r="AD56" i="708"/>
  <c r="AC56" i="708"/>
  <c r="AB56" i="708"/>
  <c r="AA56" i="708"/>
  <c r="Z56" i="708"/>
  <c r="Y56" i="708"/>
  <c r="X56" i="708"/>
  <c r="W56" i="708"/>
  <c r="V56" i="708"/>
  <c r="U56" i="708"/>
  <c r="D48" i="708"/>
  <c r="M33" i="708"/>
  <c r="M32" i="708"/>
  <c r="L32" i="708"/>
  <c r="K32" i="708"/>
  <c r="M31" i="708"/>
  <c r="M29" i="708"/>
  <c r="M28" i="708"/>
  <c r="AA23" i="708"/>
  <c r="Z23" i="708"/>
  <c r="Y23" i="708"/>
  <c r="X23" i="708"/>
  <c r="W23" i="708"/>
  <c r="V23" i="708"/>
  <c r="U23" i="708"/>
  <c r="T23" i="708"/>
  <c r="S23" i="708"/>
  <c r="AA22" i="708"/>
  <c r="Z22" i="708"/>
  <c r="Y22" i="708"/>
  <c r="X22" i="708"/>
  <c r="W22" i="708"/>
  <c r="V22" i="708"/>
  <c r="U22" i="708"/>
  <c r="T22" i="708"/>
  <c r="S22" i="708"/>
  <c r="AA21" i="708"/>
  <c r="Z21" i="708"/>
  <c r="Y21" i="708"/>
  <c r="X21" i="708"/>
  <c r="W21" i="708"/>
  <c r="V21" i="708"/>
  <c r="U21" i="708"/>
  <c r="T21" i="708"/>
  <c r="S21" i="708"/>
  <c r="AA20" i="708"/>
  <c r="Z20" i="708"/>
  <c r="Y20" i="708"/>
  <c r="X20" i="708"/>
  <c r="W20" i="708"/>
  <c r="V20" i="708"/>
  <c r="U20" i="708"/>
  <c r="T20" i="708"/>
  <c r="S20" i="708"/>
  <c r="AA19" i="708"/>
  <c r="Z19" i="708"/>
  <c r="Y19" i="708"/>
  <c r="X19" i="708"/>
  <c r="W19" i="708"/>
  <c r="V19" i="708"/>
  <c r="U19" i="708"/>
  <c r="T19" i="708"/>
  <c r="S19" i="708"/>
  <c r="AA18" i="708"/>
  <c r="Z18" i="708"/>
  <c r="Y18" i="708"/>
  <c r="X18" i="708"/>
  <c r="W18" i="708"/>
  <c r="V18" i="708"/>
  <c r="U18" i="708"/>
  <c r="T18" i="708"/>
  <c r="S18" i="708"/>
  <c r="AA17" i="708"/>
  <c r="Z17" i="708"/>
  <c r="Y17" i="708"/>
  <c r="X17" i="708"/>
  <c r="W17" i="708"/>
  <c r="V17" i="708"/>
  <c r="U17" i="708"/>
  <c r="T17" i="708"/>
  <c r="S17" i="708"/>
  <c r="AA16" i="708"/>
  <c r="Z16" i="708"/>
  <c r="Y16" i="708"/>
  <c r="X16" i="708"/>
  <c r="W16" i="708"/>
  <c r="V16" i="708"/>
  <c r="U16" i="708"/>
  <c r="T16" i="708"/>
  <c r="S16" i="708"/>
  <c r="AA15" i="708"/>
  <c r="Z15" i="708"/>
  <c r="Y15" i="708"/>
  <c r="X15" i="708"/>
  <c r="W15" i="708"/>
  <c r="V15" i="708"/>
  <c r="U15" i="708"/>
  <c r="T15" i="708"/>
  <c r="S15" i="708"/>
  <c r="AA14" i="708"/>
  <c r="Z14" i="708"/>
  <c r="Y14" i="708"/>
  <c r="X14" i="708"/>
  <c r="W14" i="708"/>
  <c r="V14" i="708"/>
  <c r="U14" i="708"/>
  <c r="T14" i="708"/>
  <c r="S14" i="708"/>
  <c r="AA12" i="708"/>
  <c r="Z12" i="708"/>
  <c r="Y12" i="708"/>
  <c r="X12" i="708"/>
  <c r="W12" i="708"/>
  <c r="V12" i="708"/>
  <c r="U12" i="708"/>
  <c r="T12" i="708"/>
  <c r="S12" i="708"/>
  <c r="AA11" i="708"/>
  <c r="Z11" i="708"/>
  <c r="Y11" i="708"/>
  <c r="X11" i="708"/>
  <c r="W11" i="708"/>
  <c r="V11" i="708"/>
  <c r="U11" i="708"/>
  <c r="T11" i="708"/>
  <c r="S11" i="708"/>
  <c r="AA10" i="708"/>
  <c r="Z10" i="708"/>
  <c r="Y10" i="708"/>
  <c r="X10" i="708"/>
  <c r="W10" i="708"/>
  <c r="V10" i="708"/>
  <c r="U10" i="708"/>
  <c r="T10" i="708"/>
  <c r="S10" i="708"/>
  <c r="O10" i="708"/>
  <c r="N10" i="708"/>
  <c r="M10" i="708"/>
  <c r="L10" i="708"/>
  <c r="G10" i="708"/>
  <c r="F10" i="708"/>
  <c r="E10" i="708"/>
  <c r="D10" i="708"/>
  <c r="M57" i="707"/>
  <c r="L71" i="706"/>
  <c r="K80" i="706"/>
  <c r="K50" i="708" l="1"/>
  <c r="D60" i="18"/>
  <c r="D61" i="18"/>
  <c r="D63" i="18"/>
  <c r="D64" i="18"/>
  <c r="K57" i="707"/>
  <c r="S18" i="707"/>
  <c r="T18" i="707"/>
  <c r="U18" i="707"/>
  <c r="V18" i="707"/>
  <c r="W18" i="707"/>
  <c r="X18" i="707"/>
  <c r="Y18" i="707"/>
  <c r="Z18" i="707"/>
  <c r="AA18" i="707"/>
  <c r="S20" i="707"/>
  <c r="T20" i="707"/>
  <c r="U20" i="707"/>
  <c r="V20" i="707"/>
  <c r="W20" i="707"/>
  <c r="X20" i="707"/>
  <c r="Y20" i="707"/>
  <c r="Z20" i="707"/>
  <c r="AA20" i="707"/>
  <c r="S21" i="707"/>
  <c r="T21" i="707"/>
  <c r="U21" i="707"/>
  <c r="V21" i="707"/>
  <c r="W21" i="707"/>
  <c r="X21" i="707"/>
  <c r="Y21" i="707"/>
  <c r="Z21" i="707"/>
  <c r="AA21" i="707"/>
  <c r="C57" i="707" a="1"/>
  <c r="C57" i="707" s="1"/>
  <c r="B57" i="707"/>
  <c r="D20" i="707"/>
  <c r="E20" i="707"/>
  <c r="F20" i="707"/>
  <c r="G20" i="707"/>
  <c r="L20" i="707"/>
  <c r="M20" i="707"/>
  <c r="N20" i="707"/>
  <c r="O20" i="707"/>
  <c r="K71" i="707"/>
  <c r="K86" i="707"/>
  <c r="K96" i="707" s="1"/>
  <c r="G86" i="707" l="1"/>
  <c r="O18" i="707" l="1"/>
  <c r="N18" i="707"/>
  <c r="M18" i="707"/>
  <c r="L18" i="707"/>
  <c r="G18" i="707"/>
  <c r="F18" i="707"/>
  <c r="E18" i="707"/>
  <c r="D18" i="707"/>
  <c r="B86" i="707" l="1"/>
  <c r="C11" i="707"/>
  <c r="D11" i="707"/>
  <c r="E11" i="707"/>
  <c r="F11" i="707"/>
  <c r="G11" i="707"/>
  <c r="K11" i="707"/>
  <c r="L11" i="707"/>
  <c r="M11" i="707"/>
  <c r="O11" i="707"/>
  <c r="C12" i="707"/>
  <c r="D12" i="707"/>
  <c r="E12" i="707"/>
  <c r="F12" i="707"/>
  <c r="G12" i="707"/>
  <c r="K12" i="707"/>
  <c r="L12" i="707"/>
  <c r="M12" i="707"/>
  <c r="O12" i="707"/>
  <c r="C13" i="707"/>
  <c r="D13" i="707"/>
  <c r="E13" i="707"/>
  <c r="F13" i="707"/>
  <c r="G13" i="707"/>
  <c r="K13" i="707"/>
  <c r="L13" i="707"/>
  <c r="M13" i="707"/>
  <c r="O13" i="707"/>
  <c r="C14" i="707"/>
  <c r="D14" i="707"/>
  <c r="E14" i="707"/>
  <c r="F14" i="707"/>
  <c r="G14" i="707"/>
  <c r="K14" i="707"/>
  <c r="L14" i="707"/>
  <c r="M14" i="707"/>
  <c r="O14" i="707"/>
  <c r="C15" i="707"/>
  <c r="D15" i="707"/>
  <c r="E15" i="707"/>
  <c r="F15" i="707"/>
  <c r="G15" i="707"/>
  <c r="J15" i="707"/>
  <c r="K15" i="707"/>
  <c r="L15" i="707"/>
  <c r="M15" i="707"/>
  <c r="O15" i="707"/>
  <c r="C16" i="707"/>
  <c r="D16" i="707"/>
  <c r="E16" i="707"/>
  <c r="F16" i="707"/>
  <c r="G16" i="707"/>
  <c r="K16" i="707"/>
  <c r="L16" i="707"/>
  <c r="M16" i="707"/>
  <c r="O16" i="707"/>
  <c r="O10" i="707"/>
  <c r="M10" i="707"/>
  <c r="L10" i="707"/>
  <c r="K10" i="707"/>
  <c r="G10" i="707"/>
  <c r="F10" i="707"/>
  <c r="E10" i="707"/>
  <c r="D10" i="707"/>
  <c r="C10" i="707"/>
  <c r="F101" i="707" l="1"/>
  <c r="AY87" i="707"/>
  <c r="AX87" i="707"/>
  <c r="AW87" i="707"/>
  <c r="AV87" i="707"/>
  <c r="AU87" i="707"/>
  <c r="AT87" i="707"/>
  <c r="AS87" i="707"/>
  <c r="AR87" i="707"/>
  <c r="AQ87" i="707"/>
  <c r="AP87" i="707"/>
  <c r="AO87" i="707"/>
  <c r="AN87" i="707"/>
  <c r="AM87" i="707"/>
  <c r="AL87" i="707"/>
  <c r="AK87" i="707"/>
  <c r="AJ87" i="707"/>
  <c r="AI87" i="707"/>
  <c r="AH87" i="707"/>
  <c r="AG87" i="707"/>
  <c r="AF87" i="707"/>
  <c r="AE87" i="707"/>
  <c r="AD87" i="707"/>
  <c r="AC87" i="707"/>
  <c r="AB87" i="707"/>
  <c r="AA87" i="707"/>
  <c r="Z87" i="707"/>
  <c r="Y87" i="707"/>
  <c r="X87" i="707"/>
  <c r="W87" i="707"/>
  <c r="V87" i="707"/>
  <c r="U87" i="707"/>
  <c r="D79" i="707"/>
  <c r="M64" i="707"/>
  <c r="M63" i="707"/>
  <c r="L63" i="707"/>
  <c r="K63" i="707"/>
  <c r="M62" i="707"/>
  <c r="M60" i="707"/>
  <c r="M59" i="707"/>
  <c r="AA54" i="707"/>
  <c r="Z54" i="707"/>
  <c r="Y54" i="707"/>
  <c r="X54" i="707"/>
  <c r="W54" i="707"/>
  <c r="V54" i="707"/>
  <c r="U54" i="707"/>
  <c r="T54" i="707"/>
  <c r="S54" i="707"/>
  <c r="AA53" i="707"/>
  <c r="Z53" i="707"/>
  <c r="Y53" i="707"/>
  <c r="X53" i="707"/>
  <c r="W53" i="707"/>
  <c r="V53" i="707"/>
  <c r="U53" i="707"/>
  <c r="T53" i="707"/>
  <c r="S53" i="707"/>
  <c r="AA52" i="707"/>
  <c r="Z52" i="707"/>
  <c r="Y52" i="707"/>
  <c r="X52" i="707"/>
  <c r="W52" i="707"/>
  <c r="V52" i="707"/>
  <c r="U52" i="707"/>
  <c r="T52" i="707"/>
  <c r="S52" i="707"/>
  <c r="AA51" i="707"/>
  <c r="Z51" i="707"/>
  <c r="Y51" i="707"/>
  <c r="X51" i="707"/>
  <c r="W51" i="707"/>
  <c r="V51" i="707"/>
  <c r="U51" i="707"/>
  <c r="T51" i="707"/>
  <c r="S51" i="707"/>
  <c r="AA50" i="707"/>
  <c r="Z50" i="707"/>
  <c r="Y50" i="707"/>
  <c r="X50" i="707"/>
  <c r="W50" i="707"/>
  <c r="V50" i="707"/>
  <c r="U50" i="707"/>
  <c r="T50" i="707"/>
  <c r="S50" i="707"/>
  <c r="AA49" i="707"/>
  <c r="Z49" i="707"/>
  <c r="Y49" i="707"/>
  <c r="X49" i="707"/>
  <c r="W49" i="707"/>
  <c r="V49" i="707"/>
  <c r="U49" i="707"/>
  <c r="T49" i="707"/>
  <c r="S49" i="707"/>
  <c r="AA48" i="707"/>
  <c r="Z48" i="707"/>
  <c r="Y48" i="707"/>
  <c r="X48" i="707"/>
  <c r="W48" i="707"/>
  <c r="V48" i="707"/>
  <c r="U48" i="707"/>
  <c r="T48" i="707"/>
  <c r="S48" i="707"/>
  <c r="AA47" i="707"/>
  <c r="Z47" i="707"/>
  <c r="Y47" i="707"/>
  <c r="X47" i="707"/>
  <c r="W47" i="707"/>
  <c r="V47" i="707"/>
  <c r="U47" i="707"/>
  <c r="T47" i="707"/>
  <c r="S47" i="707"/>
  <c r="AA46" i="707"/>
  <c r="Z46" i="707"/>
  <c r="Y46" i="707"/>
  <c r="X46" i="707"/>
  <c r="W46" i="707"/>
  <c r="V46" i="707"/>
  <c r="U46" i="707"/>
  <c r="T46" i="707"/>
  <c r="S46" i="707"/>
  <c r="AA45" i="707"/>
  <c r="Z45" i="707"/>
  <c r="Y45" i="707"/>
  <c r="X45" i="707"/>
  <c r="W45" i="707"/>
  <c r="V45" i="707"/>
  <c r="U45" i="707"/>
  <c r="T45" i="707"/>
  <c r="S45" i="707"/>
  <c r="AA44" i="707"/>
  <c r="Z44" i="707"/>
  <c r="Y44" i="707"/>
  <c r="X44" i="707"/>
  <c r="W44" i="707"/>
  <c r="V44" i="707"/>
  <c r="U44" i="707"/>
  <c r="T44" i="707"/>
  <c r="S44" i="707"/>
  <c r="AA43" i="707"/>
  <c r="Z43" i="707"/>
  <c r="Y43" i="707"/>
  <c r="X43" i="707"/>
  <c r="W43" i="707"/>
  <c r="V43" i="707"/>
  <c r="U43" i="707"/>
  <c r="T43" i="707"/>
  <c r="S43" i="707"/>
  <c r="AA42" i="707"/>
  <c r="Z42" i="707"/>
  <c r="Y42" i="707"/>
  <c r="X42" i="707"/>
  <c r="W42" i="707"/>
  <c r="V42" i="707"/>
  <c r="U42" i="707"/>
  <c r="T42" i="707"/>
  <c r="S42" i="707"/>
  <c r="AA41" i="707"/>
  <c r="Z41" i="707"/>
  <c r="Y41" i="707"/>
  <c r="X41" i="707"/>
  <c r="W41" i="707"/>
  <c r="V41" i="707"/>
  <c r="U41" i="707"/>
  <c r="T41" i="707"/>
  <c r="S41" i="707"/>
  <c r="AA40" i="707"/>
  <c r="Z40" i="707"/>
  <c r="Y40" i="707"/>
  <c r="X40" i="707"/>
  <c r="W40" i="707"/>
  <c r="V40" i="707"/>
  <c r="U40" i="707"/>
  <c r="T40" i="707"/>
  <c r="S40" i="707"/>
  <c r="AA39" i="707"/>
  <c r="Z39" i="707"/>
  <c r="Y39" i="707"/>
  <c r="X39" i="707"/>
  <c r="W39" i="707"/>
  <c r="V39" i="707"/>
  <c r="U39" i="707"/>
  <c r="T39" i="707"/>
  <c r="S39" i="707"/>
  <c r="AA38" i="707"/>
  <c r="Z38" i="707"/>
  <c r="Y38" i="707"/>
  <c r="X38" i="707"/>
  <c r="W38" i="707"/>
  <c r="V38" i="707"/>
  <c r="U38" i="707"/>
  <c r="T38" i="707"/>
  <c r="S38" i="707"/>
  <c r="AA37" i="707"/>
  <c r="Z37" i="707"/>
  <c r="Y37" i="707"/>
  <c r="X37" i="707"/>
  <c r="W37" i="707"/>
  <c r="V37" i="707"/>
  <c r="U37" i="707"/>
  <c r="T37" i="707"/>
  <c r="S37" i="707"/>
  <c r="AA36" i="707"/>
  <c r="Z36" i="707"/>
  <c r="Y36" i="707"/>
  <c r="X36" i="707"/>
  <c r="W36" i="707"/>
  <c r="V36" i="707"/>
  <c r="U36" i="707"/>
  <c r="T36" i="707"/>
  <c r="S36" i="707"/>
  <c r="AA35" i="707"/>
  <c r="Z35" i="707"/>
  <c r="Y35" i="707"/>
  <c r="X35" i="707"/>
  <c r="W35" i="707"/>
  <c r="V35" i="707"/>
  <c r="U35" i="707"/>
  <c r="T35" i="707"/>
  <c r="S35" i="707"/>
  <c r="AA34" i="707"/>
  <c r="Z34" i="707"/>
  <c r="Y34" i="707"/>
  <c r="X34" i="707"/>
  <c r="W34" i="707"/>
  <c r="V34" i="707"/>
  <c r="U34" i="707"/>
  <c r="T34" i="707"/>
  <c r="S34" i="707"/>
  <c r="AA33" i="707"/>
  <c r="Z33" i="707"/>
  <c r="Y33" i="707"/>
  <c r="X33" i="707"/>
  <c r="W33" i="707"/>
  <c r="V33" i="707"/>
  <c r="U33" i="707"/>
  <c r="T33" i="707"/>
  <c r="S33" i="707"/>
  <c r="AA32" i="707"/>
  <c r="Z32" i="707"/>
  <c r="Y32" i="707"/>
  <c r="X32" i="707"/>
  <c r="W32" i="707"/>
  <c r="V32" i="707"/>
  <c r="U32" i="707"/>
  <c r="T32" i="707"/>
  <c r="S32" i="707"/>
  <c r="AA31" i="707"/>
  <c r="Z31" i="707"/>
  <c r="Y31" i="707"/>
  <c r="X31" i="707"/>
  <c r="W31" i="707"/>
  <c r="V31" i="707"/>
  <c r="U31" i="707"/>
  <c r="T31" i="707"/>
  <c r="S31" i="707"/>
  <c r="AA30" i="707"/>
  <c r="Z30" i="707"/>
  <c r="Y30" i="707"/>
  <c r="X30" i="707"/>
  <c r="W30" i="707"/>
  <c r="V30" i="707"/>
  <c r="U30" i="707"/>
  <c r="T30" i="707"/>
  <c r="S30" i="707"/>
  <c r="AA29" i="707"/>
  <c r="Z29" i="707"/>
  <c r="Y29" i="707"/>
  <c r="X29" i="707"/>
  <c r="W29" i="707"/>
  <c r="V29" i="707"/>
  <c r="U29" i="707"/>
  <c r="T29" i="707"/>
  <c r="S29" i="707"/>
  <c r="AA28" i="707"/>
  <c r="Z28" i="707"/>
  <c r="Y28" i="707"/>
  <c r="X28" i="707"/>
  <c r="W28" i="707"/>
  <c r="V28" i="707"/>
  <c r="U28" i="707"/>
  <c r="T28" i="707"/>
  <c r="S28" i="707"/>
  <c r="AA27" i="707"/>
  <c r="Z27" i="707"/>
  <c r="Y27" i="707"/>
  <c r="X27" i="707"/>
  <c r="W27" i="707"/>
  <c r="V27" i="707"/>
  <c r="U27" i="707"/>
  <c r="T27" i="707"/>
  <c r="S27" i="707"/>
  <c r="AA26" i="707"/>
  <c r="Z26" i="707"/>
  <c r="Y26" i="707"/>
  <c r="X26" i="707"/>
  <c r="W26" i="707"/>
  <c r="V26" i="707"/>
  <c r="U26" i="707"/>
  <c r="T26" i="707"/>
  <c r="S26" i="707"/>
  <c r="AA25" i="707"/>
  <c r="Z25" i="707"/>
  <c r="Y25" i="707"/>
  <c r="X25" i="707"/>
  <c r="W25" i="707"/>
  <c r="V25" i="707"/>
  <c r="U25" i="707"/>
  <c r="T25" i="707"/>
  <c r="S25" i="707"/>
  <c r="AA24" i="707"/>
  <c r="Z24" i="707"/>
  <c r="Y24" i="707"/>
  <c r="X24" i="707"/>
  <c r="W24" i="707"/>
  <c r="V24" i="707"/>
  <c r="U24" i="707"/>
  <c r="T24" i="707"/>
  <c r="S24" i="707"/>
  <c r="AA23" i="707"/>
  <c r="Z23" i="707"/>
  <c r="Y23" i="707"/>
  <c r="X23" i="707"/>
  <c r="W23" i="707"/>
  <c r="V23" i="707"/>
  <c r="U23" i="707"/>
  <c r="T23" i="707"/>
  <c r="S23" i="707"/>
  <c r="AA22" i="707"/>
  <c r="Z22" i="707"/>
  <c r="Y22" i="707"/>
  <c r="X22" i="707"/>
  <c r="W22" i="707"/>
  <c r="V22" i="707"/>
  <c r="U22" i="707"/>
  <c r="T22" i="707"/>
  <c r="S22" i="707"/>
  <c r="AA17" i="707"/>
  <c r="Z17" i="707"/>
  <c r="Y17" i="707"/>
  <c r="X17" i="707"/>
  <c r="W17" i="707"/>
  <c r="V17" i="707"/>
  <c r="U17" i="707"/>
  <c r="T17" i="707"/>
  <c r="S17" i="707"/>
  <c r="AA16" i="707"/>
  <c r="Z16" i="707"/>
  <c r="Y16" i="707"/>
  <c r="X16" i="707"/>
  <c r="W16" i="707"/>
  <c r="V16" i="707"/>
  <c r="U16" i="707"/>
  <c r="T16" i="707"/>
  <c r="S16" i="707"/>
  <c r="AA15" i="707"/>
  <c r="Z15" i="707"/>
  <c r="Y15" i="707"/>
  <c r="X15" i="707"/>
  <c r="W15" i="707"/>
  <c r="V15" i="707"/>
  <c r="U15" i="707"/>
  <c r="T15" i="707"/>
  <c r="S15" i="707"/>
  <c r="AA14" i="707"/>
  <c r="Z14" i="707"/>
  <c r="Y14" i="707"/>
  <c r="X14" i="707"/>
  <c r="W14" i="707"/>
  <c r="V14" i="707"/>
  <c r="U14" i="707"/>
  <c r="T14" i="707"/>
  <c r="S14" i="707"/>
  <c r="AA13" i="707"/>
  <c r="Z13" i="707"/>
  <c r="Y13" i="707"/>
  <c r="X13" i="707"/>
  <c r="W13" i="707"/>
  <c r="V13" i="707"/>
  <c r="U13" i="707"/>
  <c r="T13" i="707"/>
  <c r="S13" i="707"/>
  <c r="AA12" i="707"/>
  <c r="Z12" i="707"/>
  <c r="Y12" i="707"/>
  <c r="X12" i="707"/>
  <c r="W12" i="707"/>
  <c r="V12" i="707"/>
  <c r="U12" i="707"/>
  <c r="T12" i="707"/>
  <c r="S12" i="707"/>
  <c r="AA11" i="707"/>
  <c r="Z11" i="707"/>
  <c r="Y11" i="707"/>
  <c r="X11" i="707"/>
  <c r="W11" i="707"/>
  <c r="V11" i="707"/>
  <c r="U11" i="707"/>
  <c r="T11" i="707"/>
  <c r="S11" i="707"/>
  <c r="AA10" i="707"/>
  <c r="Z10" i="707"/>
  <c r="Y10" i="707"/>
  <c r="X10" i="707"/>
  <c r="W10" i="707"/>
  <c r="V10" i="707"/>
  <c r="U10" i="707"/>
  <c r="T10" i="707"/>
  <c r="S10" i="707"/>
  <c r="M61" i="706"/>
  <c r="M59" i="706"/>
  <c r="M58" i="706"/>
  <c r="M56" i="706"/>
  <c r="M63" i="706"/>
  <c r="G10" i="706" l="1"/>
  <c r="K74" i="706"/>
  <c r="M62" i="706"/>
  <c r="L62" i="706"/>
  <c r="K62" i="706"/>
  <c r="S10" i="706"/>
  <c r="T10" i="706"/>
  <c r="U10" i="706"/>
  <c r="V10" i="706"/>
  <c r="W10" i="706"/>
  <c r="X10" i="706"/>
  <c r="Y10" i="706"/>
  <c r="Z10" i="706"/>
  <c r="AA10" i="706"/>
  <c r="S11" i="706"/>
  <c r="T11" i="706"/>
  <c r="U11" i="706"/>
  <c r="V11" i="706"/>
  <c r="W11" i="706"/>
  <c r="X11" i="706"/>
  <c r="Y11" i="706"/>
  <c r="Z11" i="706"/>
  <c r="AA11" i="706"/>
  <c r="S12" i="706"/>
  <c r="T12" i="706"/>
  <c r="U12" i="706"/>
  <c r="V12" i="706"/>
  <c r="W12" i="706"/>
  <c r="X12" i="706"/>
  <c r="Y12" i="706"/>
  <c r="Z12" i="706"/>
  <c r="AA12" i="706"/>
  <c r="C15" i="706"/>
  <c r="D15" i="706"/>
  <c r="E15" i="706"/>
  <c r="F15" i="706"/>
  <c r="G15" i="706"/>
  <c r="K15" i="706"/>
  <c r="L15" i="706"/>
  <c r="M15" i="706"/>
  <c r="N15" i="706"/>
  <c r="O15" i="706"/>
  <c r="C16" i="706"/>
  <c r="D16" i="706"/>
  <c r="E16" i="706"/>
  <c r="F16" i="706"/>
  <c r="G16" i="706"/>
  <c r="K16" i="706"/>
  <c r="L16" i="706"/>
  <c r="M16" i="706"/>
  <c r="N16" i="706"/>
  <c r="O16" i="706"/>
  <c r="C17" i="706"/>
  <c r="D17" i="706"/>
  <c r="E17" i="706"/>
  <c r="F17" i="706"/>
  <c r="G17" i="706"/>
  <c r="K17" i="706"/>
  <c r="L17" i="706"/>
  <c r="M17" i="706"/>
  <c r="N17" i="706"/>
  <c r="O17" i="706"/>
  <c r="C10" i="706"/>
  <c r="D10" i="706"/>
  <c r="E10" i="706"/>
  <c r="F10" i="706"/>
  <c r="K10" i="706"/>
  <c r="L10" i="706"/>
  <c r="M10" i="706"/>
  <c r="N10" i="706"/>
  <c r="O10" i="706"/>
  <c r="C11" i="706"/>
  <c r="D11" i="706"/>
  <c r="E11" i="706"/>
  <c r="F11" i="706"/>
  <c r="G11" i="706"/>
  <c r="K11" i="706"/>
  <c r="L11" i="706"/>
  <c r="M11" i="706"/>
  <c r="N11" i="706"/>
  <c r="O11" i="706"/>
  <c r="C12" i="706"/>
  <c r="D12" i="706"/>
  <c r="E12" i="706"/>
  <c r="F12" i="706"/>
  <c r="G12" i="706"/>
  <c r="K12" i="706"/>
  <c r="L12" i="706"/>
  <c r="M12" i="706"/>
  <c r="N12" i="706"/>
  <c r="O12" i="706"/>
  <c r="C13" i="706"/>
  <c r="D13" i="706"/>
  <c r="E13" i="706"/>
  <c r="F13" i="706"/>
  <c r="G13" i="706"/>
  <c r="K13" i="706"/>
  <c r="L13" i="706"/>
  <c r="M13" i="706"/>
  <c r="N13" i="706"/>
  <c r="O13" i="706"/>
  <c r="C14" i="706"/>
  <c r="D14" i="706"/>
  <c r="E14" i="706"/>
  <c r="F14" i="706"/>
  <c r="G14" i="706"/>
  <c r="K14" i="706"/>
  <c r="L14" i="706"/>
  <c r="M14" i="706"/>
  <c r="N14" i="706"/>
  <c r="O14" i="706"/>
  <c r="G60" i="19" l="1"/>
  <c r="G61" i="19"/>
  <c r="G63" i="19"/>
  <c r="J60" i="19"/>
  <c r="J61" i="19"/>
  <c r="J63" i="19"/>
  <c r="J57" i="18"/>
  <c r="J58" i="18"/>
  <c r="J59" i="18"/>
  <c r="J60" i="18"/>
  <c r="J61" i="18"/>
  <c r="J62" i="18"/>
  <c r="J63" i="18"/>
  <c r="J64" i="18"/>
  <c r="J65" i="18"/>
  <c r="G60" i="18"/>
  <c r="G61" i="18"/>
  <c r="G63" i="18"/>
  <c r="G64" i="18"/>
  <c r="F100" i="706" l="1"/>
  <c r="AY86" i="706"/>
  <c r="AX86" i="706"/>
  <c r="AW86" i="706"/>
  <c r="AV86" i="706"/>
  <c r="AU86" i="706"/>
  <c r="AT86" i="706"/>
  <c r="AS86" i="706"/>
  <c r="AR86" i="706"/>
  <c r="AQ86" i="706"/>
  <c r="AP86" i="706"/>
  <c r="AO86" i="706"/>
  <c r="AN86" i="706"/>
  <c r="AM86" i="706"/>
  <c r="AL86" i="706"/>
  <c r="AK86" i="706"/>
  <c r="AJ86" i="706"/>
  <c r="AI86" i="706"/>
  <c r="AH86" i="706"/>
  <c r="AG86" i="706"/>
  <c r="AF86" i="706"/>
  <c r="AE86" i="706"/>
  <c r="AD86" i="706"/>
  <c r="AC86" i="706"/>
  <c r="AB86" i="706"/>
  <c r="AA86" i="706"/>
  <c r="Z86" i="706"/>
  <c r="Y86" i="706"/>
  <c r="X86" i="706"/>
  <c r="W86" i="706"/>
  <c r="V86" i="706"/>
  <c r="U86" i="706"/>
  <c r="D78" i="706"/>
  <c r="AA53" i="706"/>
  <c r="Z53" i="706"/>
  <c r="Y53" i="706"/>
  <c r="X53" i="706"/>
  <c r="W53" i="706"/>
  <c r="V53" i="706"/>
  <c r="U53" i="706"/>
  <c r="T53" i="706"/>
  <c r="S53" i="706"/>
  <c r="AA52" i="706"/>
  <c r="Z52" i="706"/>
  <c r="Y52" i="706"/>
  <c r="X52" i="706"/>
  <c r="W52" i="706"/>
  <c r="V52" i="706"/>
  <c r="U52" i="706"/>
  <c r="T52" i="706"/>
  <c r="S52" i="706"/>
  <c r="AA51" i="706"/>
  <c r="Z51" i="706"/>
  <c r="Y51" i="706"/>
  <c r="X51" i="706"/>
  <c r="W51" i="706"/>
  <c r="V51" i="706"/>
  <c r="U51" i="706"/>
  <c r="T51" i="706"/>
  <c r="S51" i="706"/>
  <c r="AA50" i="706"/>
  <c r="Z50" i="706"/>
  <c r="Y50" i="706"/>
  <c r="X50" i="706"/>
  <c r="W50" i="706"/>
  <c r="V50" i="706"/>
  <c r="U50" i="706"/>
  <c r="T50" i="706"/>
  <c r="S50" i="706"/>
  <c r="AA49" i="706"/>
  <c r="Z49" i="706"/>
  <c r="Y49" i="706"/>
  <c r="X49" i="706"/>
  <c r="W49" i="706"/>
  <c r="V49" i="706"/>
  <c r="U49" i="706"/>
  <c r="T49" i="706"/>
  <c r="S49" i="706"/>
  <c r="AA48" i="706"/>
  <c r="Z48" i="706"/>
  <c r="Y48" i="706"/>
  <c r="X48" i="706"/>
  <c r="W48" i="706"/>
  <c r="V48" i="706"/>
  <c r="U48" i="706"/>
  <c r="T48" i="706"/>
  <c r="S48" i="706"/>
  <c r="AA47" i="706"/>
  <c r="Z47" i="706"/>
  <c r="Y47" i="706"/>
  <c r="X47" i="706"/>
  <c r="W47" i="706"/>
  <c r="V47" i="706"/>
  <c r="U47" i="706"/>
  <c r="T47" i="706"/>
  <c r="S47" i="706"/>
  <c r="AA46" i="706"/>
  <c r="Z46" i="706"/>
  <c r="Y46" i="706"/>
  <c r="X46" i="706"/>
  <c r="W46" i="706"/>
  <c r="V46" i="706"/>
  <c r="U46" i="706"/>
  <c r="T46" i="706"/>
  <c r="S46" i="706"/>
  <c r="AA45" i="706"/>
  <c r="Z45" i="706"/>
  <c r="Y45" i="706"/>
  <c r="X45" i="706"/>
  <c r="W45" i="706"/>
  <c r="V45" i="706"/>
  <c r="U45" i="706"/>
  <c r="T45" i="706"/>
  <c r="S45" i="706"/>
  <c r="AA44" i="706"/>
  <c r="Z44" i="706"/>
  <c r="Y44" i="706"/>
  <c r="X44" i="706"/>
  <c r="W44" i="706"/>
  <c r="V44" i="706"/>
  <c r="U44" i="706"/>
  <c r="T44" i="706"/>
  <c r="S44" i="706"/>
  <c r="AA43" i="706"/>
  <c r="Z43" i="706"/>
  <c r="Y43" i="706"/>
  <c r="X43" i="706"/>
  <c r="W43" i="706"/>
  <c r="V43" i="706"/>
  <c r="U43" i="706"/>
  <c r="T43" i="706"/>
  <c r="S43" i="706"/>
  <c r="AA42" i="706"/>
  <c r="Z42" i="706"/>
  <c r="Y42" i="706"/>
  <c r="X42" i="706"/>
  <c r="W42" i="706"/>
  <c r="V42" i="706"/>
  <c r="U42" i="706"/>
  <c r="T42" i="706"/>
  <c r="S42" i="706"/>
  <c r="AA41" i="706"/>
  <c r="Z41" i="706"/>
  <c r="Y41" i="706"/>
  <c r="X41" i="706"/>
  <c r="W41" i="706"/>
  <c r="V41" i="706"/>
  <c r="U41" i="706"/>
  <c r="T41" i="706"/>
  <c r="S41" i="706"/>
  <c r="AA40" i="706"/>
  <c r="Z40" i="706"/>
  <c r="Y40" i="706"/>
  <c r="X40" i="706"/>
  <c r="W40" i="706"/>
  <c r="V40" i="706"/>
  <c r="U40" i="706"/>
  <c r="T40" i="706"/>
  <c r="S40" i="706"/>
  <c r="AA39" i="706"/>
  <c r="Z39" i="706"/>
  <c r="Y39" i="706"/>
  <c r="X39" i="706"/>
  <c r="W39" i="706"/>
  <c r="V39" i="706"/>
  <c r="U39" i="706"/>
  <c r="T39" i="706"/>
  <c r="S39" i="706"/>
  <c r="AA38" i="706"/>
  <c r="Z38" i="706"/>
  <c r="Y38" i="706"/>
  <c r="X38" i="706"/>
  <c r="W38" i="706"/>
  <c r="V38" i="706"/>
  <c r="U38" i="706"/>
  <c r="T38" i="706"/>
  <c r="S38" i="706"/>
  <c r="AA37" i="706"/>
  <c r="Z37" i="706"/>
  <c r="Y37" i="706"/>
  <c r="X37" i="706"/>
  <c r="W37" i="706"/>
  <c r="V37" i="706"/>
  <c r="U37" i="706"/>
  <c r="T37" i="706"/>
  <c r="S37" i="706"/>
  <c r="AA36" i="706"/>
  <c r="Z36" i="706"/>
  <c r="Y36" i="706"/>
  <c r="X36" i="706"/>
  <c r="W36" i="706"/>
  <c r="V36" i="706"/>
  <c r="U36" i="706"/>
  <c r="T36" i="706"/>
  <c r="S36" i="706"/>
  <c r="AA35" i="706"/>
  <c r="Z35" i="706"/>
  <c r="Y35" i="706"/>
  <c r="X35" i="706"/>
  <c r="W35" i="706"/>
  <c r="V35" i="706"/>
  <c r="U35" i="706"/>
  <c r="T35" i="706"/>
  <c r="S35" i="706"/>
  <c r="AA34" i="706"/>
  <c r="Z34" i="706"/>
  <c r="Y34" i="706"/>
  <c r="X34" i="706"/>
  <c r="W34" i="706"/>
  <c r="V34" i="706"/>
  <c r="U34" i="706"/>
  <c r="T34" i="706"/>
  <c r="S34" i="706"/>
  <c r="AA33" i="706"/>
  <c r="Z33" i="706"/>
  <c r="Y33" i="706"/>
  <c r="X33" i="706"/>
  <c r="W33" i="706"/>
  <c r="V33" i="706"/>
  <c r="U33" i="706"/>
  <c r="T33" i="706"/>
  <c r="S33" i="706"/>
  <c r="AA32" i="706"/>
  <c r="Z32" i="706"/>
  <c r="Y32" i="706"/>
  <c r="X32" i="706"/>
  <c r="W32" i="706"/>
  <c r="V32" i="706"/>
  <c r="U32" i="706"/>
  <c r="T32" i="706"/>
  <c r="S32" i="706"/>
  <c r="AA31" i="706"/>
  <c r="Z31" i="706"/>
  <c r="Y31" i="706"/>
  <c r="X31" i="706"/>
  <c r="W31" i="706"/>
  <c r="V31" i="706"/>
  <c r="U31" i="706"/>
  <c r="T31" i="706"/>
  <c r="S31" i="706"/>
  <c r="AA30" i="706"/>
  <c r="Z30" i="706"/>
  <c r="Y30" i="706"/>
  <c r="X30" i="706"/>
  <c r="W30" i="706"/>
  <c r="V30" i="706"/>
  <c r="U30" i="706"/>
  <c r="T30" i="706"/>
  <c r="S30" i="706"/>
  <c r="AA29" i="706"/>
  <c r="Z29" i="706"/>
  <c r="Y29" i="706"/>
  <c r="X29" i="706"/>
  <c r="W29" i="706"/>
  <c r="V29" i="706"/>
  <c r="U29" i="706"/>
  <c r="T29" i="706"/>
  <c r="S29" i="706"/>
  <c r="AA28" i="706"/>
  <c r="Z28" i="706"/>
  <c r="Y28" i="706"/>
  <c r="X28" i="706"/>
  <c r="W28" i="706"/>
  <c r="V28" i="706"/>
  <c r="U28" i="706"/>
  <c r="T28" i="706"/>
  <c r="S28" i="706"/>
  <c r="AA27" i="706"/>
  <c r="Z27" i="706"/>
  <c r="Y27" i="706"/>
  <c r="X27" i="706"/>
  <c r="W27" i="706"/>
  <c r="V27" i="706"/>
  <c r="U27" i="706"/>
  <c r="T27" i="706"/>
  <c r="S27" i="706"/>
  <c r="AA26" i="706"/>
  <c r="Z26" i="706"/>
  <c r="Y26" i="706"/>
  <c r="X26" i="706"/>
  <c r="W26" i="706"/>
  <c r="V26" i="706"/>
  <c r="U26" i="706"/>
  <c r="T26" i="706"/>
  <c r="S26" i="706"/>
  <c r="AA25" i="706"/>
  <c r="Z25" i="706"/>
  <c r="Y25" i="706"/>
  <c r="X25" i="706"/>
  <c r="W25" i="706"/>
  <c r="V25" i="706"/>
  <c r="U25" i="706"/>
  <c r="T25" i="706"/>
  <c r="S25" i="706"/>
  <c r="AA24" i="706"/>
  <c r="Z24" i="706"/>
  <c r="Y24" i="706"/>
  <c r="X24" i="706"/>
  <c r="W24" i="706"/>
  <c r="V24" i="706"/>
  <c r="U24" i="706"/>
  <c r="T24" i="706"/>
  <c r="S24" i="706"/>
  <c r="AA23" i="706"/>
  <c r="Z23" i="706"/>
  <c r="Y23" i="706"/>
  <c r="X23" i="706"/>
  <c r="W23" i="706"/>
  <c r="V23" i="706"/>
  <c r="U23" i="706"/>
  <c r="T23" i="706"/>
  <c r="S23" i="706"/>
  <c r="AA22" i="706"/>
  <c r="Z22" i="706"/>
  <c r="Y22" i="706"/>
  <c r="X22" i="706"/>
  <c r="W22" i="706"/>
  <c r="V22" i="706"/>
  <c r="U22" i="706"/>
  <c r="T22" i="706"/>
  <c r="S22" i="706"/>
  <c r="AA21" i="706"/>
  <c r="Z21" i="706"/>
  <c r="Y21" i="706"/>
  <c r="X21" i="706"/>
  <c r="W21" i="706"/>
  <c r="V21" i="706"/>
  <c r="U21" i="706"/>
  <c r="T21" i="706"/>
  <c r="S21" i="706"/>
  <c r="AA20" i="706"/>
  <c r="Z20" i="706"/>
  <c r="Y20" i="706"/>
  <c r="X20" i="706"/>
  <c r="W20" i="706"/>
  <c r="V20" i="706"/>
  <c r="U20" i="706"/>
  <c r="T20" i="706"/>
  <c r="S20" i="706"/>
  <c r="AA17" i="706"/>
  <c r="Z17" i="706"/>
  <c r="Y17" i="706"/>
  <c r="X17" i="706"/>
  <c r="W17" i="706"/>
  <c r="V17" i="706"/>
  <c r="U17" i="706"/>
  <c r="T17" i="706"/>
  <c r="S17" i="706"/>
  <c r="AA16" i="706"/>
  <c r="Z16" i="706"/>
  <c r="Y16" i="706"/>
  <c r="X16" i="706"/>
  <c r="W16" i="706"/>
  <c r="V16" i="706"/>
  <c r="U16" i="706"/>
  <c r="T16" i="706"/>
  <c r="S16" i="706"/>
  <c r="AA15" i="706"/>
  <c r="Z15" i="706"/>
  <c r="Y15" i="706"/>
  <c r="X15" i="706"/>
  <c r="W15" i="706"/>
  <c r="V15" i="706"/>
  <c r="U15" i="706"/>
  <c r="T15" i="706"/>
  <c r="S15" i="706"/>
  <c r="AA14" i="706"/>
  <c r="Z14" i="706"/>
  <c r="Y14" i="706"/>
  <c r="X14" i="706"/>
  <c r="W14" i="706"/>
  <c r="V14" i="706"/>
  <c r="U14" i="706"/>
  <c r="T14" i="706"/>
  <c r="S14" i="706"/>
  <c r="AA13" i="706"/>
  <c r="Z13" i="706"/>
  <c r="Y13" i="706"/>
  <c r="X13" i="706"/>
  <c r="W13" i="706"/>
  <c r="V13" i="706"/>
  <c r="U13" i="706"/>
  <c r="T13" i="706"/>
  <c r="S13" i="706"/>
  <c r="K66" i="706" l="1"/>
  <c r="F94" i="658" l="1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4" i="658"/>
  <c r="L65" i="658" s="1"/>
  <c r="M65" i="658" s="1"/>
  <c r="D72" i="658"/>
  <c r="M58" i="658"/>
  <c r="M57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H40" i="21" l="1"/>
  <c r="H41" i="21"/>
  <c r="H44" i="21"/>
  <c r="D40" i="21" l="1"/>
  <c r="D41" i="21"/>
  <c r="D44" i="21"/>
  <c r="D45" i="21"/>
  <c r="D47" i="21"/>
  <c r="N47" i="21" l="1"/>
  <c r="F38" i="21" l="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C33" i="18" l="1"/>
  <c r="I20" i="18"/>
  <c r="C33" i="19"/>
  <c r="D40" i="19"/>
  <c r="I20" i="19"/>
  <c r="D40" i="18"/>
  <c r="O47" i="21" l="1"/>
  <c r="E44" i="21" l="1"/>
  <c r="E41" i="21" l="1"/>
  <c r="E40" i="21"/>
  <c r="E47" i="21" l="1"/>
  <c r="F47" i="21" l="1"/>
  <c r="G47" i="21" l="1"/>
  <c r="H47" i="21" l="1"/>
  <c r="E7" i="21" l="1"/>
  <c r="P42" i="21"/>
  <c r="F7" i="21" s="1"/>
  <c r="E6" i="21" l="1"/>
  <c r="E9" i="21" l="1"/>
  <c r="E8" i="21"/>
  <c r="E5" i="21"/>
  <c r="I47" i="21"/>
  <c r="E10" i="21" l="1"/>
  <c r="J47" i="21" l="1"/>
  <c r="P45" i="21" l="1"/>
  <c r="F9" i="21" s="1"/>
  <c r="K47" i="21" l="1"/>
  <c r="L47" i="21" l="1"/>
  <c r="P40" i="21" l="1"/>
  <c r="F5" i="21" s="1"/>
  <c r="P44" i="21" l="1"/>
  <c r="F8" i="21" s="1"/>
  <c r="P41" i="21"/>
  <c r="F6" i="21" s="1"/>
  <c r="M47" i="21" l="1"/>
  <c r="P47" i="21" s="1"/>
  <c r="F10" i="21" s="1"/>
  <c r="L56" i="658" l="1"/>
  <c r="L59" i="658" s="1"/>
  <c r="M59" i="658" s="1"/>
  <c r="M56" i="658"/>
  <c r="G79" i="658" l="1"/>
  <c r="K79" i="658" l="1"/>
  <c r="K90" i="658" s="1"/>
  <c r="D79" i="658" l="1"/>
  <c r="L79" i="658" s="1"/>
  <c r="C90" i="658" s="1"/>
  <c r="G90" i="658"/>
  <c r="L66" i="706" l="1"/>
  <c r="J17" i="706" l="1"/>
  <c r="J16" i="706"/>
  <c r="J15" i="706"/>
  <c r="J14" i="706"/>
  <c r="J13" i="706"/>
  <c r="J12" i="706"/>
  <c r="J11" i="706"/>
  <c r="I10" i="706"/>
  <c r="J10" i="706"/>
  <c r="I17" i="706" l="1"/>
  <c r="I16" i="706"/>
  <c r="I15" i="706"/>
  <c r="I14" i="706"/>
  <c r="I13" i="706"/>
  <c r="I12" i="706"/>
  <c r="I11" i="706"/>
  <c r="J62" i="706" l="1"/>
  <c r="M66" i="706"/>
  <c r="M71" i="706" l="1"/>
  <c r="N11" i="707" l="1"/>
  <c r="N12" i="707"/>
  <c r="N13" i="707"/>
  <c r="N14" i="707"/>
  <c r="N15" i="707"/>
  <c r="N16" i="707"/>
  <c r="N10" i="707"/>
  <c r="J16" i="707" l="1"/>
  <c r="I12" i="707"/>
  <c r="I11" i="707" l="1"/>
  <c r="J10" i="707"/>
  <c r="J12" i="707"/>
  <c r="J11" i="707"/>
  <c r="I10" i="707" l="1"/>
  <c r="J14" i="707" l="1"/>
  <c r="J13" i="707" l="1"/>
  <c r="I14" i="707"/>
  <c r="I16" i="707"/>
  <c r="I15" i="707"/>
  <c r="I13" i="707" l="1"/>
  <c r="J57" i="707" s="1"/>
  <c r="L57" i="707"/>
  <c r="W19" i="709" l="1"/>
  <c r="W20" i="709"/>
  <c r="W21" i="709"/>
  <c r="W22" i="709"/>
  <c r="W23" i="709"/>
  <c r="X19" i="709"/>
  <c r="X20" i="709"/>
  <c r="X21" i="709"/>
  <c r="X22" i="709"/>
  <c r="X23" i="709"/>
  <c r="V20" i="709"/>
  <c r="V21" i="709"/>
  <c r="V22" i="709"/>
  <c r="V19" i="709"/>
  <c r="V23" i="709"/>
  <c r="U21" i="709"/>
  <c r="U20" i="709"/>
  <c r="U22" i="709"/>
  <c r="U23" i="709"/>
  <c r="U19" i="709"/>
  <c r="T21" i="709"/>
  <c r="T22" i="709"/>
  <c r="T23" i="709"/>
  <c r="T19" i="709"/>
  <c r="T20" i="709"/>
  <c r="Y19" i="709"/>
  <c r="Y20" i="709"/>
  <c r="Y21" i="709"/>
  <c r="Y22" i="709"/>
  <c r="Y23" i="709"/>
  <c r="Z19" i="709"/>
  <c r="Z20" i="709"/>
  <c r="Z23" i="709"/>
  <c r="Z21" i="709"/>
  <c r="Z22" i="709"/>
  <c r="AA23" i="709"/>
  <c r="AA22" i="709"/>
  <c r="AA19" i="709"/>
  <c r="AA20" i="709"/>
  <c r="AA21" i="709"/>
  <c r="J12" i="710" l="1"/>
  <c r="J10" i="712"/>
  <c r="I10" i="712" l="1"/>
  <c r="J25" i="712" s="1"/>
  <c r="M25" i="711" l="1"/>
  <c r="L25" i="711"/>
  <c r="M28" i="710"/>
  <c r="L28" i="710"/>
  <c r="I12" i="710"/>
  <c r="K16" i="714" l="1"/>
  <c r="K17" i="714"/>
  <c r="N15" i="714"/>
  <c r="N16" i="714"/>
  <c r="N17" i="714"/>
  <c r="J18" i="714" l="1"/>
  <c r="J17" i="714"/>
  <c r="K15" i="714" l="1"/>
  <c r="J15" i="714" l="1"/>
  <c r="J16" i="714"/>
  <c r="J12" i="713"/>
  <c r="L23" i="713" l="1"/>
  <c r="M23" i="713"/>
  <c r="I12" i="713"/>
  <c r="J23" i="713" s="1"/>
  <c r="I16" i="714"/>
  <c r="I15" i="714"/>
  <c r="J15" i="713" l="1"/>
  <c r="J19" i="710"/>
  <c r="C11" i="708"/>
  <c r="C12" i="708"/>
  <c r="C14" i="710"/>
  <c r="C15" i="710"/>
  <c r="C18" i="710"/>
  <c r="C19" i="710"/>
  <c r="C14" i="713"/>
  <c r="C15" i="713"/>
  <c r="C16" i="713"/>
  <c r="C17" i="713"/>
  <c r="C10" i="714"/>
  <c r="C11" i="714"/>
  <c r="C12" i="714"/>
  <c r="C13" i="714"/>
  <c r="C16" i="715"/>
  <c r="C17" i="715"/>
  <c r="C18" i="715"/>
  <c r="N18" i="715"/>
  <c r="K25" i="715" l="1"/>
  <c r="K34" i="715" s="1"/>
  <c r="K26" i="714"/>
  <c r="K35" i="714" s="1"/>
  <c r="K24" i="713"/>
  <c r="K33" i="713" s="1"/>
  <c r="K26" i="712"/>
  <c r="K35" i="712" s="1"/>
  <c r="K26" i="711"/>
  <c r="K35" i="711" s="1"/>
  <c r="K29" i="710"/>
  <c r="K38" i="710" s="1"/>
  <c r="K58" i="707"/>
  <c r="K67" i="707" s="1"/>
  <c r="K27" i="709"/>
  <c r="K36" i="709" s="1"/>
  <c r="K27" i="708"/>
  <c r="K36" i="708" s="1"/>
  <c r="C18" i="707"/>
  <c r="K72" i="707" s="1"/>
  <c r="K81" i="707" s="1"/>
  <c r="J17" i="713"/>
  <c r="C10" i="708"/>
  <c r="C20" i="707"/>
  <c r="J12" i="708"/>
  <c r="I14" i="710"/>
  <c r="J12" i="714"/>
  <c r="J18" i="710"/>
  <c r="J16" i="713"/>
  <c r="I19" i="710"/>
  <c r="J13" i="714"/>
  <c r="J18" i="715"/>
  <c r="J10" i="714"/>
  <c r="J11" i="708"/>
  <c r="J16" i="715"/>
  <c r="J14" i="710"/>
  <c r="J14" i="713"/>
  <c r="J11" i="714"/>
  <c r="I18" i="710"/>
  <c r="J15" i="710"/>
  <c r="J17" i="715"/>
  <c r="I11" i="708"/>
  <c r="J18" i="707"/>
  <c r="I17" i="713"/>
  <c r="I15" i="713"/>
  <c r="L40" i="725" l="1"/>
  <c r="M40" i="725" s="1"/>
  <c r="L40" i="726"/>
  <c r="M40" i="726" s="1"/>
  <c r="L40" i="724"/>
  <c r="M40" i="724" s="1"/>
  <c r="L40" i="723"/>
  <c r="M40" i="723" s="1"/>
  <c r="L40" i="721"/>
  <c r="M40" i="721" s="1"/>
  <c r="L40" i="722"/>
  <c r="M40" i="722" s="1"/>
  <c r="L35" i="720"/>
  <c r="M35" i="720" s="1"/>
  <c r="L36" i="718"/>
  <c r="M36" i="718" s="1"/>
  <c r="L40" i="719"/>
  <c r="M40" i="719" s="1"/>
  <c r="L39" i="716"/>
  <c r="M39" i="716" s="1"/>
  <c r="L35" i="717"/>
  <c r="M35" i="717" s="1"/>
  <c r="J29" i="710"/>
  <c r="I12" i="708"/>
  <c r="I16" i="713"/>
  <c r="L39" i="715"/>
  <c r="M39" i="715" s="1"/>
  <c r="L38" i="713"/>
  <c r="M38" i="713" s="1"/>
  <c r="L40" i="712"/>
  <c r="M40" i="712" s="1"/>
  <c r="L40" i="711"/>
  <c r="M40" i="711" s="1"/>
  <c r="L40" i="714"/>
  <c r="M40" i="714" s="1"/>
  <c r="L43" i="710"/>
  <c r="M43" i="710" s="1"/>
  <c r="L41" i="709"/>
  <c r="M41" i="709" s="1"/>
  <c r="L72" i="707"/>
  <c r="M72" i="707" s="1"/>
  <c r="L41" i="708"/>
  <c r="M41" i="708" s="1"/>
  <c r="J10" i="708"/>
  <c r="J20" i="707"/>
  <c r="I10" i="708"/>
  <c r="I20" i="707"/>
  <c r="I15" i="710"/>
  <c r="I28" i="710" s="1"/>
  <c r="I14" i="713"/>
  <c r="J24" i="713" l="1"/>
  <c r="J27" i="708"/>
  <c r="M26" i="712"/>
  <c r="M26" i="711"/>
  <c r="M29" i="710"/>
  <c r="M58" i="707"/>
  <c r="M27" i="708"/>
  <c r="M27" i="709"/>
  <c r="M57" i="706"/>
  <c r="M24" i="713"/>
  <c r="L26" i="712"/>
  <c r="L35" i="712" s="1"/>
  <c r="M35" i="712" s="1"/>
  <c r="L26" i="711"/>
  <c r="L35" i="711" s="1"/>
  <c r="M35" i="711" s="1"/>
  <c r="L29" i="710"/>
  <c r="L38" i="710" s="1"/>
  <c r="M38" i="710" s="1"/>
  <c r="L58" i="707"/>
  <c r="L67" i="707" s="1"/>
  <c r="M67" i="707" s="1"/>
  <c r="L27" i="709"/>
  <c r="L36" i="709" s="1"/>
  <c r="M36" i="709" s="1"/>
  <c r="L27" i="708"/>
  <c r="L36" i="708" s="1"/>
  <c r="M36" i="708" s="1"/>
  <c r="I18" i="707"/>
  <c r="J58" i="707" s="1"/>
  <c r="L24" i="713"/>
  <c r="L33" i="713" s="1"/>
  <c r="M33" i="713" s="1"/>
  <c r="J13" i="715"/>
  <c r="J12" i="715"/>
  <c r="J11" i="715"/>
  <c r="J10" i="715"/>
  <c r="J15" i="717" l="1"/>
  <c r="J11" i="717"/>
  <c r="J10" i="717"/>
  <c r="I15" i="717" l="1"/>
  <c r="I10" i="717"/>
  <c r="I11" i="717"/>
  <c r="J20" i="717" l="1"/>
  <c r="I17" i="716" l="1"/>
  <c r="J24" i="716" s="1"/>
  <c r="J17" i="716" l="1"/>
  <c r="J13" i="719" l="1"/>
  <c r="J14" i="719"/>
  <c r="J16" i="719"/>
  <c r="J12" i="719"/>
  <c r="J17" i="719"/>
  <c r="J15" i="719"/>
  <c r="I12" i="719" l="1"/>
  <c r="I16" i="719"/>
  <c r="I17" i="719"/>
  <c r="I14" i="719"/>
  <c r="I15" i="719"/>
  <c r="I13" i="719"/>
  <c r="J11" i="719" l="1"/>
  <c r="I11" i="719" l="1"/>
  <c r="J25" i="719" s="1"/>
  <c r="I13" i="715" l="1"/>
  <c r="I10" i="715" l="1"/>
  <c r="I19" i="714"/>
  <c r="I18" i="714" l="1"/>
  <c r="M25" i="721"/>
  <c r="M21" i="718"/>
  <c r="M20" i="717"/>
  <c r="M24" i="715"/>
  <c r="I17" i="714"/>
  <c r="M25" i="714"/>
  <c r="I12" i="715"/>
  <c r="I11" i="715"/>
  <c r="J25" i="714" l="1"/>
  <c r="L24" i="715"/>
  <c r="L25" i="722"/>
  <c r="L20" i="717"/>
  <c r="L20" i="720"/>
  <c r="I24" i="715"/>
  <c r="L25" i="721"/>
  <c r="L25" i="719"/>
  <c r="L21" i="718"/>
  <c r="M25" i="722"/>
  <c r="M24" i="716"/>
  <c r="M20" i="720"/>
  <c r="M25" i="719"/>
  <c r="L24" i="716"/>
  <c r="L25" i="714"/>
  <c r="I16" i="715" l="1"/>
  <c r="I17" i="715"/>
  <c r="I12" i="714"/>
  <c r="I13" i="714"/>
  <c r="I18" i="715"/>
  <c r="J25" i="715" l="1"/>
  <c r="I10" i="714"/>
  <c r="M21" i="717"/>
  <c r="M21" i="720"/>
  <c r="M25" i="716"/>
  <c r="L26" i="719"/>
  <c r="L35" i="719" s="1"/>
  <c r="M35" i="719" s="1"/>
  <c r="L21" i="720"/>
  <c r="L30" i="720" s="1"/>
  <c r="M30" i="720" s="1"/>
  <c r="M26" i="719"/>
  <c r="M22" i="718"/>
  <c r="I11" i="714"/>
  <c r="J26" i="714" l="1"/>
  <c r="L22" i="718"/>
  <c r="L31" i="718" s="1"/>
  <c r="M31" i="718" s="1"/>
  <c r="L25" i="716"/>
  <c r="L34" i="716" s="1"/>
  <c r="M34" i="716" s="1"/>
  <c r="M26" i="722"/>
  <c r="M25" i="715"/>
  <c r="L26" i="721"/>
  <c r="L35" i="721" s="1"/>
  <c r="M35" i="721" s="1"/>
  <c r="M26" i="714"/>
  <c r="L21" i="717"/>
  <c r="L30" i="717" s="1"/>
  <c r="M30" i="717" s="1"/>
  <c r="L25" i="715"/>
  <c r="L34" i="715" s="1"/>
  <c r="M34" i="715" s="1"/>
  <c r="M26" i="721"/>
  <c r="L26" i="714"/>
  <c r="L35" i="714" s="1"/>
  <c r="M35" i="714" s="1"/>
  <c r="L26" i="722"/>
  <c r="L35" i="722" s="1"/>
  <c r="M35" i="722" s="1"/>
  <c r="K10" i="721" l="1"/>
  <c r="K11" i="721"/>
  <c r="K12" i="721"/>
  <c r="K13" i="721"/>
  <c r="K14" i="721"/>
  <c r="K15" i="721"/>
  <c r="K16" i="721"/>
  <c r="K17" i="721"/>
  <c r="K10" i="716"/>
  <c r="K11" i="716"/>
  <c r="K12" i="716"/>
  <c r="K13" i="716"/>
  <c r="K14" i="716"/>
  <c r="K16" i="715"/>
  <c r="K17" i="715"/>
  <c r="K18" i="715"/>
  <c r="K11" i="714"/>
  <c r="K12" i="714"/>
  <c r="K13" i="714"/>
  <c r="K14" i="713"/>
  <c r="K15" i="713"/>
  <c r="K16" i="713"/>
  <c r="K17" i="713"/>
  <c r="K10" i="714"/>
  <c r="K18" i="710"/>
  <c r="K15" i="710"/>
  <c r="K19" i="710"/>
  <c r="K11" i="708"/>
  <c r="K12" i="708"/>
  <c r="K14" i="710"/>
  <c r="K18" i="707"/>
  <c r="K20" i="707" l="1"/>
  <c r="K10" i="708"/>
  <c r="G64" i="19" l="1"/>
  <c r="J64" i="19" l="1"/>
  <c r="J57" i="19"/>
  <c r="J59" i="19"/>
  <c r="J62" i="19"/>
  <c r="J56" i="19"/>
  <c r="J58" i="19"/>
  <c r="J65" i="19" l="1"/>
  <c r="K11" i="723"/>
  <c r="J12" i="723" l="1"/>
  <c r="J11" i="723"/>
  <c r="I12" i="723" l="1"/>
  <c r="I11" i="723" l="1"/>
  <c r="J25" i="723" s="1"/>
  <c r="L25" i="723"/>
  <c r="L35" i="723" s="1"/>
  <c r="M35" i="723" s="1"/>
  <c r="M25" i="723"/>
  <c r="I18" i="723" l="1"/>
  <c r="J18" i="723"/>
  <c r="J19" i="723" l="1"/>
  <c r="I19" i="723"/>
  <c r="J28" i="723" s="1"/>
  <c r="F57" i="714" l="1"/>
  <c r="D60" i="19"/>
  <c r="D63" i="19"/>
  <c r="D64" i="19"/>
  <c r="F55" i="708"/>
  <c r="G60" i="722" l="1"/>
  <c r="F54" i="711"/>
  <c r="F53" i="716"/>
  <c r="G61" i="722"/>
  <c r="D61" i="19"/>
  <c r="G60" i="723"/>
  <c r="D54" i="723"/>
  <c r="L54" i="723" s="1"/>
  <c r="C60" i="723" s="1"/>
  <c r="F57" i="710"/>
  <c r="I57" i="710" s="1"/>
  <c r="D54" i="722"/>
  <c r="L54" i="722" s="1"/>
  <c r="C60" i="722" s="1"/>
  <c r="G55" i="720"/>
  <c r="D49" i="720"/>
  <c r="L49" i="720" s="1"/>
  <c r="C55" i="720" s="1"/>
  <c r="G57" i="718"/>
  <c r="D50" i="718"/>
  <c r="L50" i="718" s="1"/>
  <c r="C57" i="718" s="1"/>
  <c r="G60" i="715"/>
  <c r="D53" i="715"/>
  <c r="L53" i="715" s="1"/>
  <c r="C60" i="715" s="1"/>
  <c r="D59" i="19"/>
  <c r="D59" i="18"/>
  <c r="D62" i="18"/>
  <c r="D62" i="19"/>
  <c r="I55" i="708"/>
  <c r="F55" i="709"/>
  <c r="I57" i="714"/>
  <c r="F52" i="713"/>
  <c r="F49" i="717"/>
  <c r="F53" i="715"/>
  <c r="F54" i="719"/>
  <c r="F56" i="722"/>
  <c r="F54" i="723"/>
  <c r="I54" i="711"/>
  <c r="F50" i="718"/>
  <c r="F51" i="717"/>
  <c r="I53" i="716"/>
  <c r="F86" i="707"/>
  <c r="F54" i="714"/>
  <c r="D56" i="722" l="1"/>
  <c r="L56" i="722" s="1"/>
  <c r="C61" i="722" s="1"/>
  <c r="G63" i="725"/>
  <c r="D54" i="725"/>
  <c r="L54" i="725" s="1"/>
  <c r="C63" i="725" s="1"/>
  <c r="G66" i="710"/>
  <c r="D57" i="710"/>
  <c r="G57" i="717"/>
  <c r="D49" i="717"/>
  <c r="L49" i="717" s="1"/>
  <c r="C57" i="717" s="1"/>
  <c r="G60" i="713"/>
  <c r="D52" i="713"/>
  <c r="L52" i="713" s="1"/>
  <c r="C60" i="713" s="1"/>
  <c r="G68" i="712"/>
  <c r="D54" i="712"/>
  <c r="L54" i="712" s="1"/>
  <c r="C68" i="712" s="1"/>
  <c r="G62" i="719"/>
  <c r="D54" i="719"/>
  <c r="L54" i="719" s="1"/>
  <c r="C62" i="719" s="1"/>
  <c r="G58" i="717"/>
  <c r="D51" i="717"/>
  <c r="L51" i="717" s="1"/>
  <c r="C58" i="717" s="1"/>
  <c r="G63" i="714"/>
  <c r="D57" i="714"/>
  <c r="D58" i="724"/>
  <c r="D55" i="709"/>
  <c r="L55" i="709" s="1"/>
  <c r="C64" i="709" s="1"/>
  <c r="D55" i="708"/>
  <c r="D57" i="708"/>
  <c r="L57" i="708" s="1"/>
  <c r="C70" i="708" s="1"/>
  <c r="G62" i="714"/>
  <c r="D54" i="714"/>
  <c r="L54" i="714" s="1"/>
  <c r="C62" i="714" s="1"/>
  <c r="D54" i="724"/>
  <c r="L54" i="724" s="1"/>
  <c r="D86" i="707"/>
  <c r="L86" i="707" s="1"/>
  <c r="C96" i="707" s="1"/>
  <c r="D56" i="724"/>
  <c r="L56" i="724" s="1"/>
  <c r="G61" i="716"/>
  <c r="D53" i="716"/>
  <c r="G64" i="711"/>
  <c r="D54" i="711"/>
  <c r="I52" i="713"/>
  <c r="I49" i="717"/>
  <c r="I86" i="707"/>
  <c r="I54" i="714"/>
  <c r="H54" i="714"/>
  <c r="D58" i="18"/>
  <c r="D58" i="19"/>
  <c r="H50" i="718"/>
  <c r="I50" i="718"/>
  <c r="D56" i="18"/>
  <c r="D56" i="19"/>
  <c r="I54" i="719"/>
  <c r="I51" i="717"/>
  <c r="I54" i="723"/>
  <c r="H54" i="723"/>
  <c r="H53" i="715"/>
  <c r="I53" i="715"/>
  <c r="I55" i="709"/>
  <c r="H56" i="722"/>
  <c r="I56" i="722"/>
  <c r="D57" i="18"/>
  <c r="H54" i="719" l="1"/>
  <c r="G64" i="709"/>
  <c r="F58" i="724"/>
  <c r="L58" i="724"/>
  <c r="C65" i="724" s="1"/>
  <c r="L53" i="716"/>
  <c r="C61" i="716" s="1"/>
  <c r="H53" i="716"/>
  <c r="L57" i="714"/>
  <c r="C63" i="714" s="1"/>
  <c r="H57" i="714"/>
  <c r="G62" i="724"/>
  <c r="C62" i="724"/>
  <c r="L55" i="708"/>
  <c r="C66" i="708" s="1"/>
  <c r="H55" i="708"/>
  <c r="G65" i="724"/>
  <c r="G70" i="708"/>
  <c r="H49" i="717"/>
  <c r="H52" i="713"/>
  <c r="L57" i="710"/>
  <c r="C66" i="710" s="1"/>
  <c r="H57" i="710"/>
  <c r="L54" i="711"/>
  <c r="C64" i="711" s="1"/>
  <c r="H54" i="711"/>
  <c r="G96" i="707"/>
  <c r="H55" i="709"/>
  <c r="H86" i="707"/>
  <c r="H51" i="717"/>
  <c r="G66" i="708"/>
  <c r="D65" i="19"/>
  <c r="D57" i="19"/>
  <c r="D65" i="18" l="1"/>
  <c r="G62" i="18"/>
  <c r="G56" i="18"/>
  <c r="G59" i="18"/>
  <c r="G58" i="18"/>
  <c r="G57" i="18"/>
  <c r="G57" i="19" l="1"/>
  <c r="G58" i="19"/>
  <c r="G65" i="18"/>
  <c r="G62" i="19"/>
  <c r="G59" i="19"/>
  <c r="G65" i="19" l="1"/>
  <c r="G56" i="19"/>
  <c r="I12" i="725" l="1"/>
  <c r="J25" i="725" s="1"/>
  <c r="J12" i="725" l="1"/>
  <c r="K10" i="711" l="1"/>
  <c r="K11" i="711"/>
  <c r="K12" i="711"/>
  <c r="K13" i="711"/>
  <c r="K14" i="711"/>
  <c r="K15" i="711"/>
  <c r="K16" i="711"/>
  <c r="K17" i="711"/>
  <c r="K12" i="726"/>
  <c r="K13" i="726"/>
  <c r="K10" i="726" l="1"/>
  <c r="K11" i="7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DD36263-B3E9-417E-9F5B-E8B7688FFA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3A53C51-5EA1-483A-BFB5-8B8B0D4526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4AF7479-63F9-4DEE-A97E-957CEDF64A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7A604554-3C94-427A-B0B9-0C49E4C807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B152920A-2CD8-4391-A864-34ADB05C01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87A462F0-BAEB-449A-90C4-E4344BACA9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0492EA6C-A361-4614-B047-E395EE15D8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20336264-999D-4352-9623-295E2A2731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5EEA64AD-C5AF-41CF-BBCA-C23F6C13DC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644A9805-2D9B-43F3-A2A8-89B33A1A5B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90" authorId="0" shapeId="0" xr:uid="{F3646F7B-E2E9-48D2-8B49-75B83681CA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V3" authorId="0" shapeId="0" xr:uid="{87AC7AF4-7A35-4149-A975-68B3D31CD5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CE38088-474F-4C7C-B3E6-9EF0805626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120ED05-80F0-4FB5-991B-7CB317D7DD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A44503C7-7BCB-4B45-BBF0-A2A6211007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7023234-E6B9-444D-ABF8-AEDCA80D67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FA5123EC-C4B4-4935-8ACC-F0EE81EB0D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A90AFCE2-4A2F-4185-A144-47AD85BC2A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04A46C76-67E8-43E1-9FA6-E6A6FAA852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49E2B9AE-FE7D-4699-AE4F-814345FE29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C0337745-9655-4BFA-8CFF-7BCB789FBA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B20" authorId="1" shapeId="0" xr:uid="{53207D67-0231-431A-8E3D-D2F2AE0B4E61}">
      <text>
        <r>
          <rPr>
            <b/>
            <sz val="9"/>
            <color indexed="81"/>
            <rFont val="Tahoma"/>
            <family val="2"/>
          </rPr>
          <t>Kaylil Baptiste:
5th</t>
        </r>
      </text>
    </comment>
    <comment ref="B91" authorId="0" shapeId="0" xr:uid="{7E7D2F24-B8A8-4E14-A1F3-E929672E80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Recid Shandy Lime on the 28th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4FC47E1E-4BD0-4DBB-B736-F8AB8BF66C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8E1927A2-62D1-4B4C-8941-E061F9F180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218B62F-BF1B-4531-86C3-F8F08F1F1F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6D0B16EC-4585-4A44-8783-C098F6C6B6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09912553-8C54-4B7D-8C42-FADEA5EFFC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F9648AC9-7A0F-4B45-A2D7-AC701514A7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436D7C03-4606-46D2-99C1-4369EB7EDA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0D8A7D02-DA84-4A5F-B242-FAAAF4E9E6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CB4AE4ED-9398-4B63-8426-1273863ACB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145F9C32-8E46-49D1-94AD-A165B491BF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5F7D9473-BE9C-4110-85CF-6BCC0D6D56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B66736CA-E7D8-4FAB-BA2F-F25F13E5FE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EA73A22-8ECD-41E3-88CC-B3BB2A4FFE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FB41F7B3-839E-49FE-84B5-0A4A301681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CE7B6C5C-868A-4E5D-AF66-8878E7ACBD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8E3ACCF2-01A7-4F77-B8B8-F8576A4F19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E1F36715-441B-47BA-AFA8-DF32C1EB78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0FC4337-4048-4DE3-9232-973B028266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BFFE8294-4012-4343-9503-762D9E5B11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81CD43C9-7FF1-4233-9072-B4861F3E05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162CC2A5-8BC6-4370-BF0F-D1AF6E2523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530DBC59-C387-469D-BFEE-5BAC370A65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85C0502-3417-4901-8F72-2B55990B4F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7D96E08C-83C9-4EAD-A9F7-3C149A573B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A3DA799E-0125-4133-8A5A-34334E19D0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2F15565-B401-42E3-BB6C-D00270FE44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FA95140-2745-41BF-97E2-524FE65626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85B3AC90-A759-4C0A-9DAE-D2EE32ED39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7BAFCDB0-EAA4-47D3-B4BD-C78411784A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5B0653E0-C4BF-4986-BD6C-CB67F98C3E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48FAC1A3-9C75-4F7B-9F48-02749C2D0B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CC58DE55-232B-4AD0-ACCA-8545984D5D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1824AA7-6D5D-4341-B4F5-F16BA2CCBD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C3C89631-CBAD-4420-9601-199EB70FFD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2660D307-63E7-4584-BF6C-28036FDEE2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BD6068F6-9985-488C-8D26-249869B6DA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04FDFE64-1818-4557-8F51-0310C6BEF1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709CC08D-BC82-494D-95D3-6F22E44042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8CE69C2F-3C4B-4E62-BF5D-F661EEEAC9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2F741849-C463-44C4-8370-4C67B99197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51A5F0B0-41DE-46DE-9F19-68A856791F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254999EF-3342-420A-9E39-6618AFBF1B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4A11596-4A92-4960-B04A-D711CED7F5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7AA0D069-FF07-474D-B432-9F1F94B387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A40E59A-5117-4EE5-AB42-3EDD7EE71D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90EEA5E1-2D35-429E-80FB-7C9C60230D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8E2B248C-0687-4750-809B-9A11D75A08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4BF91B4E-262D-428D-8851-58AA6EE931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DF4A33E6-50C5-4BD0-AC27-977448AADA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F036F2FC-3932-487D-BC13-BC295E9D25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F9332497-803E-47E4-AC0C-48561B6B31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17AD293-8889-4B9B-8D90-D53300108E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6240667-8190-4887-B984-7D8A97B469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42E8FFD7-78A9-4580-A18B-46B78CA46E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AC4F128C-8734-4264-B6EA-636A95F08C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0238A927-BC38-401A-9546-D6CCED5E92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82EF5997-622F-41E0-AFDD-A98A65CA20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86B7288D-47C1-43B2-80F3-FFE27EB157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4CFE37-2B04-4411-98DE-366170133D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9FF8DC2A-7212-4809-B8A2-4E0CB5D2BC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F84D542C-5424-4D9F-A920-F827AB2723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2F5043A4-F7E8-497B-89CC-78E6D942AD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79C29D3-E4A5-42CB-85CE-F0DBE9EB26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5072EA38-B86C-45C0-A093-6863C16F26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548B516A-4578-47A3-83E4-5E7C502536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B1BC8DE1-EC35-43C5-B2D3-57017E05EB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A16C10B4-0A52-42FF-98B3-ECBA327890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CFBADF6F-36D1-4BFB-A90C-988F5F4671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D1845FB3-C84C-454F-BCF8-2649F007F6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BDDFA58F-09F1-40DD-BFC7-2E930E94BA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1BB91004-1569-4294-AEAE-1831DA788E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2C57F277-780B-4AB1-A7EB-C79EA8779C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6E18654-5F9B-46CC-B439-FD6A508997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5073FE7E-409B-48E6-A0E9-C13067AA98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C27DC00D-6349-48D8-9F9B-DBF106B7D5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E918303B-E5AC-4303-9C5C-DF8CE1CAC8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F955E55D-688A-4C5A-8116-0ADDBDBB58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B820D18C-0711-46AD-B253-6B37C0F5D3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1FE9A52F-1717-4A90-A749-CC8868988C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B1159D-CF54-4BF5-9349-7E234DB000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076FF7D-76B3-4EEE-9B1A-F7382C6E05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66631A01-EB89-4ECF-994E-EE4ED92164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0E8BE80-B666-4FCD-ACF9-076DA8B4B7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FD0ECE96-7835-4F7A-A719-E74645C13B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464C8665-A9CA-42DF-8E08-A30D6137AE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40B1476D-C396-4FB7-BF78-E6C8153C7B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CF429D02-B760-4E35-B858-7BE421BE12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834C3EE5-9D94-4E8E-8345-48A4C5C048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21CFAF4F-0899-4714-B6A9-9488F57774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FEF171D-075A-445F-BD7A-2A1CCFDB9F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V3" authorId="0" shapeId="0" xr:uid="{9B222698-03CD-440A-80F7-4AD097E36C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419D719-31F8-4021-BCC7-992C5A9FBB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DF1B333-26A4-4D98-9F2B-1AA9DF56D4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5FED750-FF86-4CFA-A4A2-FEE51CB3FD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3CF1855-ECD9-4B39-B0C1-3F4B192DC2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8BC53C2A-AE24-4604-B60C-1411AEEF95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FB71785A-534D-4790-85D8-E492FDC742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0D8DF740-49C5-4571-B442-57C306FDE4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2E0F9BB8-FE59-4AAF-B262-CBF1EFC57A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4B5F02A8-B41C-42DF-BD05-D877A7FC5A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49" authorId="1" shapeId="0" xr:uid="{30B94031-2E4D-403C-BD94-95A9B64D7C2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Ammonia leak and stop to switch to switch back to commercial power 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4EC06DD-104F-4B51-B963-2DFED16401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0CB9C483-551E-465C-A9E5-9991C6F24A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0D78C1C-A826-476E-BFEC-3FB54DAFC0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AA4BBBC5-D702-4044-8B37-A030AB31BF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D60A8F50-EA0C-4F9C-BE97-9EA21A406E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9B4DFE53-0F2D-4676-89B2-AFB214BD12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47423FE5-EA43-4181-99FE-364A14293F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4056202A-D0E1-491B-8924-A447839951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1DC81F48-8C9F-4FCD-8F17-49E8068098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1AC2E971-49CB-4C93-BA38-26CFB8EB5A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8984A1F-7B49-4E4F-B4F9-A294BD8C78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BEDC9CAD-9EF6-4360-A613-BA4EA1A716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1EA0EAF-7CCA-4FBE-9940-597BA549F0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1DE361A2-85B5-45A5-8AA4-58F26FE274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4CC4E848-B033-41D3-BA77-EAB6BC6936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CDEBB2C-27AC-4649-88EB-6D0DDA5540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F3D784BD-7299-43F0-AC8B-A7489223C4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59E72B6C-59E9-46EE-9E07-0040FB8BFF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C82572B6-B866-4DB2-B560-1D0A01BD19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C81E6AF-F0A6-4B16-97F9-72EE302F86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144C6E02-2CD1-4B29-8489-BADC7A11EC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A26A9F78-2230-4268-962A-A41F6E45F6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DB38F50-269B-49CE-8DB9-190C549AA9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D1F41144-EC57-48D0-9280-3EFA473137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9EA9386A-FC28-4118-A4D1-295E9EE910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7D5B6BC0-9421-4E3A-8832-7BBEA1C68E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7947086A-63C7-41BA-929E-16BE661DD5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F23EA20-67A4-426A-BCF7-BA6ABAA235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8F10CC6-A083-4941-BEC0-2788142DCD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B5C22EC6-2544-4C3A-8FF3-5DD80ADFED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00F4955B-150A-4875-8009-D74B235E27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A3844846-C998-4919-A99B-CB5A8FC569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36397EE-4C7F-4138-AD78-17AE4D26A3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FC255BBC-CEC3-4E46-91AC-DCC8586FBB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AA5C69C-500E-4D5D-B596-A9C75D1192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954A2836-D468-413E-A835-472BE8E462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4BC9BEF5-38D2-43E0-A19E-C7AF6EB635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E00E0259-17CE-4ECC-B622-268664E1DB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8528516A-2FCF-48B7-901B-5577CE223F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8B45C2C5-5CC6-4048-B5DD-91F24DD24A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FC398855-DB04-444D-9E88-2D5F139736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CB7ED808-231B-48F0-A8CB-0C194E95AC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96C2FA6-8F47-464E-A685-03BA6BF997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C74C42D0-902E-4687-9AF5-94FE8CAAA1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CF547378-D669-4F26-8105-804168BE4F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3044DB4-5347-492C-ADFD-CC6B9B28F4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67A789F5-8720-478E-A31C-F55F3DA827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C013F7A9-E7A0-45D0-8853-E9919987B9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9BB65036-C335-4BA7-A417-626216E0C9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533CF262-D39F-4BED-B247-F183E13F1B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6BC2DFE5-42CD-4970-86B3-8EE6B2998D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49BAB89E-59CC-43A7-8D68-CC9E486203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C4520AB-DAA4-45CE-AC75-C0A46C2145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E3FEFC0-8B9F-438A-94C7-50D8C942D6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A176BEA2-6A3D-42C1-9246-3F58A5AD69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E995FCC9-C7EB-44A8-8753-B3A02D8D87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8FA6FDF5-3373-48DC-A77F-F243E70D02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AE37612E-B9CD-4DF6-92D2-DE957F4FA7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43334319-3208-43E5-8323-019DA18D13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D6EBB9F3-3045-4173-9DC9-2D800400FE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1F585364-AE24-442A-9AEE-AE8A7BE849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F0AF62CD-0378-4611-9A6F-7607554E87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3497D6D-9E6A-4A23-BBE5-14F0C98382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69B8FC19-2319-40C0-B0B1-70562FB504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C901C609-BAD7-4673-AF22-5AC4894227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E2AD8CF1-FC00-492D-86D5-5FFC5F64EE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9F6245B2-4FCA-47D0-BA4D-67172EF928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77F7A562-F535-4E6F-9D8C-98422ED454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9F6FB01D-055C-43C6-BFAB-E92BCF8B8E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D4D683E7-83E3-49BC-B8D3-C7EF5FE2F0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05B480A1-3818-482C-8E52-46DE9F4CAF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D6555462-3E63-45A4-8D84-786F46AC1F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4D16012-73D3-4C2D-907A-44989455F4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B818BA02-162F-4A4C-98CF-6A1EA762BC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749DDF53-DAF3-4370-A96B-4E13ED869B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6AF41252-7F24-4F63-B1F8-6B3BAEF1B6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1BE71CA7-4316-4CFE-B850-889D35AC77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932EC89E-A58D-4277-B982-AFB0FEFD4B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2A6467E3-8C7F-4735-B466-BDA3AB5E8E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3A71D2A-C23D-41B3-85C6-7C3673253A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B48F43FB-1CCA-40E5-BED3-D951FD5BD6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64BD47BE-7CD3-4E31-BBDA-8CA0D5D7A6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96F966A-3336-4C31-86A0-692069F55F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EB381959-2B4D-44DF-A01F-3546BAECF9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E93C22CF-731E-4D93-B8D8-9C5E6C14C6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7A463E3B-9C9E-4E93-98DD-F921390AE5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0CA1F1DF-2465-469D-AF8A-8F075DA01E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06573FD7-D594-4577-AC50-F93F238984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86ACEEFD-93FE-442B-BA42-AFF6B9088C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37244F10-CCD5-40F6-9F36-DDB7066B8F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<sst xmlns="http://schemas.openxmlformats.org/spreadsheetml/2006/main" count="3380" uniqueCount="212">
  <si>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</si>
  <si>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</si>
  <si>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</si>
  <si>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</si>
  <si>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</si>
  <si>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</si>
  <si>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</si>
  <si>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</si>
  <si>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</si>
  <si>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</si>
  <si>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</si>
  <si>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</si>
  <si>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</si>
  <si>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</si>
  <si>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</si>
  <si>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</si>
  <si>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</si>
  <si>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</si>
  <si>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</si>
  <si>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</si>
  <si>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</si>
  <si>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</si>
  <si>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</si>
  <si>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</si>
  <si>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</si>
  <si>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</si>
  <si>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</si>
  <si>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</si>
  <si>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</si>
  <si>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</si>
  <si>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</si>
  <si>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</si>
  <si>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</si>
  <si>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</si>
  <si>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</si>
  <si>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</si>
  <si>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</si>
  <si>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</si>
  <si>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</si>
  <si>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</si>
  <si>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</si>
  <si>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</si>
  <si>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</si>
  <si>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</si>
  <si>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</si>
  <si>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</si>
  <si>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</si>
  <si>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</si>
  <si>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</si>
  <si>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</si>
  <si>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</si>
  <si>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</si>
  <si>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</si>
  <si>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</si>
  <si>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</si>
  <si>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</si>
  <si>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</si>
  <si>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</si>
  <si>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</si>
  <si>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</si>
  <si>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</si>
  <si>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</si>
  <si>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</si>
  <si>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</si>
  <si>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</si>
  <si>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</si>
  <si>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</si>
  <si>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</si>
  <si>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</si>
  <si>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</si>
  <si>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</si>
  <si>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</si>
  <si>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</si>
  <si>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</si>
  <si>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</si>
  <si>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</si>
  <si>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</si>
  <si>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</si>
  <si>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</si>
  <si>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</si>
  <si>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</si>
  <si>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</si>
  <si>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</si>
  <si>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</si>
  <si>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</si>
  <si>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</si>
  <si>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</si>
  <si>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</si>
  <si>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</si>
  <si>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</si>
  <si>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</si>
  <si>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</si>
  <si>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</si>
  <si>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</si>
  <si>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</si>
  <si>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</si>
  <si>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</si>
  <si>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</si>
  <si>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</si>
  <si>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</si>
  <si>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</si>
  <si>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</si>
  <si>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</si>
  <si>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</si>
  <si>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</si>
  <si>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</si>
  <si>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</si>
  <si>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</si>
  <si>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</si>
  <si>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</si>
  <si>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</si>
  <si>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</si>
  <si>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</si>
  <si>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</si>
  <si>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</si>
  <si>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</si>
  <si>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</si>
  <si>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</si>
  <si>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</si>
  <si>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</si>
  <si>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</si>
  <si>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</si>
  <si>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</si>
  <si>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</si>
  <si>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</si>
  <si>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</si>
  <si>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</si>
  <si>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</si>
  <si>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</si>
  <si>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</si>
  <si>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</si>
  <si>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</si>
  <si>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</si>
  <si>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</si>
  <si>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</si>
  <si>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</si>
  <si>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</si>
  <si>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</si>
  <si>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</si>
  <si>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</si>
  <si>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</si>
  <si>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</si>
  <si>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</si>
  <si>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</si>
  <si>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</si>
  <si>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</si>
  <si>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</si>
  <si>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</si>
  <si>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</si>
  <si>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</si>
  <si>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</si>
  <si>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</si>
  <si>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</si>
  <si>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</si>
  <si>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</si>
  <si>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</si>
  <si>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</si>
  <si>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</si>
  <si>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</si>
  <si>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Extr. Rec (80.9%)</t>
  </si>
  <si>
    <t>NO Break</t>
  </si>
  <si>
    <t>HR PILS</t>
  </si>
  <si>
    <t>HR APA</t>
  </si>
  <si>
    <t xml:space="preserve">NO BREAK </t>
  </si>
  <si>
    <t>D. Emery</t>
  </si>
  <si>
    <t>HURRICANE REEF PILS</t>
  </si>
  <si>
    <t>K. Hosten</t>
  </si>
  <si>
    <t>T. Charles</t>
  </si>
  <si>
    <t>No Break</t>
  </si>
  <si>
    <t xml:space="preserve"> MALT LOT: Lot 18/32</t>
  </si>
  <si>
    <t xml:space="preserve"> MALT LOT: Lot 18</t>
  </si>
  <si>
    <t>LOT WORT COLOUR: 3.0</t>
  </si>
  <si>
    <t>Grist conveyor monitor tripped + extra 20 mins boil to correct low gravity</t>
  </si>
  <si>
    <t xml:space="preserve">Brew kettle up in pre-run tank due to delays on previous brew </t>
  </si>
  <si>
    <t>Slow cooling (high temp)</t>
  </si>
  <si>
    <t>LOT WORT COLOUR: 3.6</t>
  </si>
  <si>
    <t>LOT WORT COLOUR: 3/3.6</t>
  </si>
  <si>
    <t xml:space="preserve"> MALT LOT: Lot 32</t>
  </si>
  <si>
    <t>Brews Achieved (Mar 7th)</t>
  </si>
  <si>
    <t>Brews Achieved (Mar 8th)</t>
  </si>
  <si>
    <t>Actual (Mar 7th)</t>
  </si>
  <si>
    <t>Actual (Mar 8th)</t>
  </si>
  <si>
    <t>1 Break</t>
  </si>
  <si>
    <t>2 Break</t>
  </si>
  <si>
    <t xml:space="preserve">G. Mason </t>
  </si>
  <si>
    <t>1/0/1900</t>
  </si>
  <si>
    <t>CIP whirlpool delay transfer from  wort kettle</t>
  </si>
  <si>
    <t xml:space="preserve">Brew paused due to low temp for sparging </t>
  </si>
  <si>
    <t>Actual (Mar 14th)</t>
  </si>
  <si>
    <t>Actual (Mar 16th)</t>
  </si>
  <si>
    <t>Brews Achieved (Mar 14th)</t>
  </si>
  <si>
    <t>Brews Achieved (Mar 16th)</t>
  </si>
  <si>
    <t>J. Nelson</t>
  </si>
  <si>
    <t>20mins extra boil</t>
  </si>
  <si>
    <t>Downtime due to ammonia leakage</t>
  </si>
  <si>
    <t>Kettle up in pre run tank (ammonia leak) boiler down</t>
  </si>
  <si>
    <t>2 Breaks</t>
  </si>
  <si>
    <t xml:space="preserve">Held in MTK lauter turn was not empty </t>
  </si>
  <si>
    <t>Extra 10min boil</t>
  </si>
  <si>
    <t>Whirlpool was not ready (CIP was being done)</t>
  </si>
  <si>
    <t xml:space="preserve">J. Nelson </t>
  </si>
  <si>
    <t xml:space="preserve">1 Break </t>
  </si>
  <si>
    <t>J. Mason</t>
  </si>
  <si>
    <t xml:space="preserve">No Break </t>
  </si>
  <si>
    <t xml:space="preserve"> MALT LOT: Lot 33</t>
  </si>
  <si>
    <t>LOT WORT COLOUR: 3.3</t>
  </si>
  <si>
    <t xml:space="preserve">Brew paused to achieve right sparge temp </t>
  </si>
  <si>
    <t>G. Mason</t>
  </si>
  <si>
    <t>4 BREAK</t>
  </si>
  <si>
    <t>1 BREAK</t>
  </si>
  <si>
    <t xml:space="preserve">T. Charles </t>
  </si>
  <si>
    <t xml:space="preserve">Steam pressure low at heat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</si>
</sst>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96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2" fontId="9" fillId="23" borderId="1" xfId="3" applyNumberFormat="1" applyFont="1" applyFill="1" applyBorder="1" applyAlignment="1">
      <alignment horizontal="center" vertical="center"/>
    </xf>
    <xf numFmtId="167" fontId="21" fillId="23" borderId="11" xfId="3" applyNumberFormat="1" applyFont="1" applyFill="1" applyBorder="1" applyAlignment="1">
      <alignment horizontal="center" vertical="center"/>
    </xf>
    <xf numFmtId="1" fontId="9" fillId="26" borderId="63" xfId="3" applyNumberFormat="1" applyFont="1" applyFill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6" fontId="8" fillId="27" borderId="1" xfId="3" applyNumberFormat="1" applyFont="1" applyFill="1" applyBorder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65" fontId="9" fillId="4" borderId="3" xfId="3" applyFont="1" applyFill="1" applyBorder="1" applyAlignment="1">
      <alignment horizontal="left" vertical="center" wrapText="1"/>
    </xf>
    <xf numFmtId="165" fontId="26" fillId="4" borderId="3" xfId="3" applyFont="1" applyFill="1" applyBorder="1" applyAlignment="1">
      <alignment horizontal="left"/>
    </xf>
    <xf numFmtId="165" fontId="27" fillId="4" borderId="3" xfId="3" applyFont="1" applyFill="1" applyBorder="1"/>
    <xf numFmtId="165" fontId="28" fillId="4" borderId="3" xfId="3" applyFont="1" applyFill="1" applyBorder="1"/>
    <xf numFmtId="165" fontId="23" fillId="4" borderId="3" xfId="3" applyFont="1" applyFill="1" applyBorder="1" applyAlignment="1">
      <alignment horizontal="left"/>
    </xf>
    <xf numFmtId="165" fontId="29" fillId="4" borderId="3" xfId="3" applyFont="1" applyFill="1" applyBorder="1"/>
    <xf numFmtId="165" fontId="30" fillId="4" borderId="3" xfId="3" applyFont="1" applyFill="1" applyBorder="1" applyAlignment="1">
      <alignment horizontal="left"/>
    </xf>
    <xf numFmtId="165" fontId="77" fillId="4" borderId="3" xfId="3" applyFont="1" applyFill="1" applyBorder="1" applyAlignment="1">
      <alignment horizontal="left"/>
    </xf>
    <xf numFmtId="2" fontId="76" fillId="6" borderId="3" xfId="3" applyNumberFormat="1" applyFont="1" applyFill="1" applyBorder="1"/>
    <xf numFmtId="165" fontId="83" fillId="0" borderId="13" xfId="3" applyFont="1" applyBorder="1" applyAlignment="1">
      <alignment horizontal="center" vertical="center"/>
    </xf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20" fillId="0" borderId="13" xfId="3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9" fillId="0" borderId="18" xfId="3" applyNumberFormat="1" applyFont="1" applyBorder="1" applyAlignment="1">
      <alignment horizontal="center" vertical="center"/>
    </xf>
    <xf numFmtId="170" fontId="8" fillId="0" borderId="10" xfId="4" applyNumberFormat="1" applyFont="1" applyFill="1" applyBorder="1" applyAlignment="1">
      <alignment horizontal="center" vertical="center"/>
    </xf>
    <xf numFmtId="170" fontId="8" fillId="0" borderId="3" xfId="4" applyNumberFormat="1" applyFont="1" applyFill="1" applyBorder="1" applyAlignment="1">
      <alignment horizontal="center" vertical="center"/>
    </xf>
    <xf numFmtId="165" fontId="84" fillId="0" borderId="13" xfId="3" applyFont="1" applyBorder="1" applyAlignment="1">
      <alignment horizontal="center" vertical="center"/>
    </xf>
    <xf numFmtId="170" fontId="8" fillId="0" borderId="1" xfId="4" applyNumberFormat="1" applyFont="1" applyFill="1" applyBorder="1" applyAlignment="1">
      <alignment horizontal="center" vertical="center"/>
    </xf>
    <xf numFmtId="165" fontId="85" fillId="0" borderId="31" xfId="3" applyFont="1" applyBorder="1"/>
    <xf numFmtId="165" fontId="9" fillId="0" borderId="13" xfId="3" applyFont="1" applyBorder="1" applyAlignment="1">
      <alignment horizontal="left"/>
    </xf>
    <xf numFmtId="165" fontId="79" fillId="0" borderId="13" xfId="3" applyFont="1" applyBorder="1" applyAlignment="1">
      <alignment horizontal="center" vertical="center"/>
    </xf>
    <xf numFmtId="165" fontId="86" fillId="0" borderId="13" xfId="3" applyFont="1" applyBorder="1" applyAlignment="1">
      <alignment horizontal="center" vertical="center"/>
    </xf>
    <xf numFmtId="1" fontId="31" fillId="0" borderId="10" xfId="3" applyNumberFormat="1" applyFont="1" applyBorder="1" applyAlignment="1">
      <alignment horizontal="center" vertical="center" wrapText="1"/>
    </xf>
    <xf numFmtId="2" fontId="25" fillId="0" borderId="85" xfId="3" applyNumberFormat="1" applyFont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6" fontId="8" fillId="0" borderId="10" xfId="3" applyNumberFormat="1" applyFont="1" applyBorder="1" applyAlignment="1">
      <alignment horizontal="center" vertical="center"/>
    </xf>
    <xf numFmtId="166" fontId="8" fillId="0" borderId="11" xfId="3" applyNumberFormat="1" applyFont="1" applyBorder="1" applyAlignment="1">
      <alignment horizontal="center" vertical="center"/>
    </xf>
    <xf numFmtId="2" fontId="9" fillId="0" borderId="0" xfId="3" applyNumberFormat="1" applyFont="1" applyAlignment="1">
      <alignment horizontal="center" vertical="center"/>
    </xf>
    <xf numFmtId="165" fontId="9" fillId="0" borderId="74" xfId="3" applyFont="1" applyBorder="1" applyAlignment="1">
      <alignment horizontal="center" vertical="center" wrapText="1"/>
    </xf>
    <xf numFmtId="166" fontId="8" fillId="0" borderId="0" xfId="3" applyNumberFormat="1" applyFont="1" applyAlignment="1">
      <alignment horizontal="center" vertical="center"/>
    </xf>
    <xf numFmtId="165" fontId="23" fillId="0" borderId="13" xfId="3" applyFont="1" applyBorder="1" applyAlignment="1">
      <alignment horizontal="center" vertical="center"/>
    </xf>
    <xf numFmtId="165" fontId="8" fillId="0" borderId="0" xfId="3" applyFont="1" applyAlignment="1">
      <alignment horizontal="left"/>
    </xf>
    <xf numFmtId="165" fontId="27" fillId="0" borderId="13" xfId="3" applyFont="1" applyBorder="1" applyAlignment="1">
      <alignment horizontal="center" vertical="center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27" fillId="0" borderId="23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86" fillId="0" borderId="66" xfId="3" applyFont="1" applyBorder="1" applyAlignment="1">
      <alignment horizontal="center" vertical="center"/>
    </xf>
    <xf numFmtId="165" fontId="86" fillId="0" borderId="27" xfId="3" applyFont="1" applyBorder="1" applyAlignment="1">
      <alignment horizontal="center" vertical="center"/>
    </xf>
    <xf numFmtId="165" fontId="86" fillId="0" borderId="35" xfId="3" applyFont="1" applyBorder="1" applyAlignment="1">
      <alignment horizontal="center" vertical="center"/>
    </xf>
    <xf numFmtId="165" fontId="84" fillId="0" borderId="23" xfId="3" applyFont="1" applyBorder="1" applyAlignment="1">
      <alignment horizontal="center" vertical="center"/>
    </xf>
    <xf numFmtId="165" fontId="84" fillId="0" borderId="27" xfId="3" applyFont="1" applyBorder="1" applyAlignment="1">
      <alignment horizontal="center" vertical="center"/>
    </xf>
    <xf numFmtId="165" fontId="84" fillId="0" borderId="35" xfId="3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5" fontId="86" fillId="0" borderId="23" xfId="3" applyFont="1" applyBorder="1" applyAlignment="1">
      <alignment horizontal="center" vertical="center"/>
    </xf>
    <xf numFmtId="165" fontId="80" fillId="0" borderId="66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23" fillId="0" borderId="27" xfId="3" applyFont="1" applyBorder="1" applyAlignment="1">
      <alignment horizontal="center" vertical="center"/>
    </xf>
    <xf numFmtId="165" fontId="23" fillId="0" borderId="35" xfId="3" applyFont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5" fontId="26" fillId="0" borderId="34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380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-0.24994659260841701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37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38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7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March_2025.xls" TargetMode="External"/><Relationship Id="rId1" Type="http://schemas.openxmlformats.org/officeDocument/2006/relationships/externalLinkPath" Target="/Operations/Brewing/Reports%20Local/Losses%202025/March_2025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24">
          <cell r="AU24">
            <v>95.033114450535422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20">
          <cell r="B20">
            <v>44581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7">
          <cell r="D7">
            <v>14.3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2">
          <cell r="AY12">
            <v>96.029058348682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208.10000000000002</v>
          </cell>
        </row>
      </sheetData>
      <sheetData sheetId="9"/>
      <sheetData sheetId="10"/>
      <sheetData sheetId="11"/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22" t="str">
            <v>SM015</v>
          </cell>
          <cell r="T22">
            <v>60</v>
          </cell>
          <cell r="U22">
            <v>5.2268602540834888</v>
          </cell>
          <cell r="X22">
            <v>0.26458333333333334</v>
          </cell>
          <cell r="Y22">
            <v>0.39444444444444443</v>
          </cell>
          <cell r="Z22">
            <v>67</v>
          </cell>
          <cell r="AD22">
            <v>0.30763888888888891</v>
          </cell>
          <cell r="AH22">
            <v>55.1</v>
          </cell>
          <cell r="AK22">
            <v>17.100000000000001</v>
          </cell>
          <cell r="AM22">
            <v>50.1</v>
          </cell>
          <cell r="AY22">
            <v>94.953130139836233</v>
          </cell>
          <cell r="AZ22">
            <v>94.587321890599398</v>
          </cell>
          <cell r="BC22" t="str">
            <v>R.Sookram</v>
          </cell>
        </row>
        <row r="23">
          <cell r="A23" t="str">
            <v>SM016</v>
          </cell>
          <cell r="T23">
            <v>60</v>
          </cell>
          <cell r="U23">
            <v>3.7009345794392599</v>
          </cell>
          <cell r="X23">
            <v>0.36875000000000002</v>
          </cell>
          <cell r="Y23">
            <v>0.5131944444444444</v>
          </cell>
          <cell r="Z23">
            <v>66</v>
          </cell>
          <cell r="AD23">
            <v>0.3118055555555555</v>
          </cell>
          <cell r="AH23">
            <v>53.5</v>
          </cell>
          <cell r="AK23">
            <v>17.8</v>
          </cell>
          <cell r="AM23">
            <v>50.7</v>
          </cell>
          <cell r="AY23">
            <v>100.2179588674224</v>
          </cell>
          <cell r="AZ23">
            <v>99.831509308186597</v>
          </cell>
          <cell r="BC23" t="str">
            <v>K. Benjamin</v>
          </cell>
        </row>
        <row r="24">
          <cell r="A24" t="str">
            <v>SM017</v>
          </cell>
          <cell r="T24">
            <v>60</v>
          </cell>
          <cell r="U24">
            <v>1.8317757009345867</v>
          </cell>
          <cell r="X24">
            <v>0.48541666666666666</v>
          </cell>
          <cell r="Y24">
            <v>0.61736111111111114</v>
          </cell>
          <cell r="Z24">
            <v>72</v>
          </cell>
          <cell r="AD24">
            <v>0.29097222222222224</v>
          </cell>
          <cell r="AH24">
            <v>53.5</v>
          </cell>
          <cell r="AK24">
            <v>17.2</v>
          </cell>
          <cell r="AM24">
            <v>51.3</v>
          </cell>
          <cell r="AY24">
            <v>92.417462104672595</v>
          </cell>
          <cell r="AZ24">
            <v>92.061091970021494</v>
          </cell>
          <cell r="BC24" t="str">
            <v>K. Benjamin</v>
          </cell>
        </row>
        <row r="25">
          <cell r="A25" t="str">
            <v>SM018</v>
          </cell>
          <cell r="T25">
            <v>60</v>
          </cell>
          <cell r="U25">
            <v>3.866171003717469</v>
          </cell>
          <cell r="X25">
            <v>0.62013888888888891</v>
          </cell>
          <cell r="Y25">
            <v>0.74791666666666667</v>
          </cell>
          <cell r="Z25">
            <v>67</v>
          </cell>
          <cell r="AD25">
            <v>0.31041666666666667</v>
          </cell>
          <cell r="AH25">
            <v>53.8</v>
          </cell>
          <cell r="AK25">
            <v>17.7</v>
          </cell>
          <cell r="AM25">
            <v>50</v>
          </cell>
          <cell r="AY25">
            <v>98.212353766599264</v>
          </cell>
          <cell r="AZ25">
            <v>97.833638002942337</v>
          </cell>
          <cell r="BC25" t="str">
            <v>K. Benjamin</v>
          </cell>
        </row>
        <row r="26">
          <cell r="A26" t="str">
            <v>SM019</v>
          </cell>
          <cell r="T26">
            <v>60</v>
          </cell>
          <cell r="U26">
            <v>3.1460674157303368</v>
          </cell>
          <cell r="X26">
            <v>0.75208333333333333</v>
          </cell>
          <cell r="Y26">
            <v>0.87916666666666665</v>
          </cell>
          <cell r="Z26">
            <v>72</v>
          </cell>
          <cell r="AD26">
            <v>0.31319444444444444</v>
          </cell>
          <cell r="AH26">
            <v>53.4</v>
          </cell>
          <cell r="AK26">
            <v>17.73</v>
          </cell>
          <cell r="AM26">
            <v>51</v>
          </cell>
          <cell r="AY26">
            <v>100.17660084193123</v>
          </cell>
          <cell r="AZ26">
            <v>99.790310763001173</v>
          </cell>
          <cell r="BC26" t="str">
            <v>R. Regis</v>
          </cell>
        </row>
        <row r="27">
          <cell r="A27" t="str">
            <v>SM020</v>
          </cell>
          <cell r="T27">
            <v>60</v>
          </cell>
          <cell r="U27">
            <v>2.5650557620817893</v>
          </cell>
          <cell r="X27">
            <v>0.86111111111111116</v>
          </cell>
          <cell r="Y27">
            <v>0.98611111111111116</v>
          </cell>
          <cell r="Z27">
            <v>54</v>
          </cell>
          <cell r="AD27">
            <v>0.27777777777777779</v>
          </cell>
          <cell r="AH27">
            <v>53.8</v>
          </cell>
          <cell r="AK27">
            <v>17.260000000000002</v>
          </cell>
          <cell r="AM27">
            <v>53</v>
          </cell>
          <cell r="AY27">
            <v>101.7139711841882</v>
          </cell>
          <cell r="AZ27">
            <v>101.32211670117096</v>
          </cell>
          <cell r="BC27" t="str">
            <v>R. Regis</v>
          </cell>
        </row>
        <row r="28">
          <cell r="A28" t="str">
            <v>SM021</v>
          </cell>
          <cell r="T28">
            <v>59</v>
          </cell>
          <cell r="U28">
            <v>0.90566037735849803</v>
          </cell>
          <cell r="X28">
            <v>0.97152777777777777</v>
          </cell>
          <cell r="Y28">
            <v>1.09375</v>
          </cell>
          <cell r="Z28">
            <v>70</v>
          </cell>
          <cell r="AD28">
            <v>0.27430555555555558</v>
          </cell>
          <cell r="AH28">
            <v>53</v>
          </cell>
          <cell r="AK28">
            <v>17.399999999999999</v>
          </cell>
          <cell r="AM28">
            <v>50.5</v>
          </cell>
          <cell r="AY28">
            <v>97.028254502167584</v>
          </cell>
          <cell r="AZ28">
            <v>96.652377658466165</v>
          </cell>
          <cell r="BC28" t="str">
            <v>R.Sookram</v>
          </cell>
        </row>
        <row r="29">
          <cell r="A29" t="str">
            <v>SM022</v>
          </cell>
          <cell r="T29">
            <v>60</v>
          </cell>
          <cell r="U29">
            <v>0.71833648393195193</v>
          </cell>
          <cell r="X29">
            <v>1.0826388888888889</v>
          </cell>
          <cell r="Y29">
            <v>1.2180555555555554</v>
          </cell>
          <cell r="Z29">
            <v>84</v>
          </cell>
          <cell r="AD29">
            <v>0.28749999999999987</v>
          </cell>
          <cell r="AH29">
            <v>52.9</v>
          </cell>
          <cell r="AK29">
            <v>17.48</v>
          </cell>
          <cell r="AM29">
            <v>51.6</v>
          </cell>
          <cell r="AY29">
            <v>99.806942496410372</v>
          </cell>
          <cell r="AZ29">
            <v>99.420655492574582</v>
          </cell>
          <cell r="BC29" t="str">
            <v>R.Sookram</v>
          </cell>
        </row>
      </sheetData>
      <sheetData sheetId="4">
        <row r="5">
          <cell r="D5">
            <v>17.399999999999999</v>
          </cell>
        </row>
        <row r="21">
          <cell r="D21">
            <v>17.100000000000001</v>
          </cell>
        </row>
        <row r="22">
          <cell r="D22">
            <v>17.8</v>
          </cell>
        </row>
        <row r="23">
          <cell r="D23">
            <v>17.2</v>
          </cell>
        </row>
        <row r="24">
          <cell r="D24">
            <v>17.7</v>
          </cell>
        </row>
        <row r="25">
          <cell r="D25">
            <v>17.73</v>
          </cell>
        </row>
        <row r="26">
          <cell r="D26">
            <v>17.260000000000002</v>
          </cell>
        </row>
        <row r="27">
          <cell r="D27">
            <v>17.399999999999999</v>
          </cell>
        </row>
        <row r="28">
          <cell r="D28">
            <v>17.48</v>
          </cell>
        </row>
      </sheetData>
      <sheetData sheetId="5"/>
      <sheetData sheetId="6" refreshError="1"/>
      <sheetData sheetId="7"/>
      <sheetData sheetId="8"/>
      <sheetData sheetId="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255" t="str">
            <v>CA152</v>
          </cell>
          <cell r="P255">
            <v>58</v>
          </cell>
          <cell r="Q255">
            <v>8.1769911504424737</v>
          </cell>
          <cell r="T255">
            <v>0.25347222222222221</v>
          </cell>
          <cell r="U255">
            <v>0.38958333333333334</v>
          </cell>
          <cell r="V255">
            <v>60</v>
          </cell>
          <cell r="Z255">
            <v>0.28541666666666665</v>
          </cell>
          <cell r="AF255">
            <v>55.6</v>
          </cell>
          <cell r="AG255">
            <v>11.9</v>
          </cell>
          <cell r="AI255">
            <v>52</v>
          </cell>
          <cell r="AU255">
            <v>102.72900962852634</v>
          </cell>
          <cell r="AV255">
            <v>101.94335078856282</v>
          </cell>
          <cell r="AX255" t="str">
            <v>R.Sookram</v>
          </cell>
        </row>
        <row r="256">
          <cell r="A256" t="str">
            <v>CA153</v>
          </cell>
          <cell r="P256">
            <v>61</v>
          </cell>
          <cell r="Q256">
            <v>6.1071428571428603</v>
          </cell>
          <cell r="T256">
            <v>0.35347222222222224</v>
          </cell>
          <cell r="U256">
            <v>0.46527777777777779</v>
          </cell>
          <cell r="V256">
            <v>62</v>
          </cell>
          <cell r="Z256">
            <v>0.27083333333333337</v>
          </cell>
          <cell r="AF256">
            <v>53.3</v>
          </cell>
          <cell r="AG256">
            <v>11.8</v>
          </cell>
          <cell r="AI256">
            <v>49.9</v>
          </cell>
          <cell r="AU256">
            <v>97.709347146924856</v>
          </cell>
          <cell r="AV256">
            <v>96.962078068690403</v>
          </cell>
          <cell r="AX256" t="str">
            <v>K.Benjamin</v>
          </cell>
        </row>
        <row r="257">
          <cell r="A257" t="str">
            <v>CA154</v>
          </cell>
          <cell r="P257">
            <v>60</v>
          </cell>
          <cell r="Q257">
            <v>7.2172351885098793</v>
          </cell>
          <cell r="T257">
            <v>0.46458333333333335</v>
          </cell>
          <cell r="U257">
            <v>0.58333333333333337</v>
          </cell>
          <cell r="V257">
            <v>65</v>
          </cell>
          <cell r="Z257">
            <v>0.28472222222222227</v>
          </cell>
          <cell r="AF257">
            <v>52.4</v>
          </cell>
          <cell r="AG257">
            <v>11.9</v>
          </cell>
          <cell r="AI257">
            <v>49</v>
          </cell>
          <cell r="AU257">
            <v>97.039020012695659</v>
          </cell>
          <cell r="AV257">
            <v>96.297037705174944</v>
          </cell>
          <cell r="AX257" t="str">
            <v>K.Benjamin</v>
          </cell>
        </row>
        <row r="258">
          <cell r="A258" t="str">
            <v>CA155</v>
          </cell>
          <cell r="P258">
            <v>60</v>
          </cell>
          <cell r="Q258">
            <v>8.9323843416370163</v>
          </cell>
          <cell r="T258">
            <v>0.56597222222222221</v>
          </cell>
          <cell r="U258">
            <v>0.67847222222222225</v>
          </cell>
          <cell r="V258">
            <v>58</v>
          </cell>
          <cell r="Z258">
            <v>0.26180555555555557</v>
          </cell>
          <cell r="AF258">
            <v>51.9</v>
          </cell>
          <cell r="AG258">
            <v>12.06</v>
          </cell>
          <cell r="AI258">
            <v>49.5</v>
          </cell>
          <cell r="AU258">
            <v>100.56008067857034</v>
          </cell>
          <cell r="AV258">
            <v>99.758450190421996</v>
          </cell>
          <cell r="AX258" t="str">
            <v>K.Benjamin</v>
          </cell>
        </row>
        <row r="259">
          <cell r="A259" t="str">
            <v>CA156</v>
          </cell>
          <cell r="P259">
            <v>62</v>
          </cell>
          <cell r="Q259">
            <v>9.0780141843971585</v>
          </cell>
          <cell r="T259">
            <v>0.69513888888888886</v>
          </cell>
          <cell r="U259">
            <v>0.80763888888888891</v>
          </cell>
          <cell r="V259">
            <v>61</v>
          </cell>
          <cell r="Z259">
            <v>0.27986111111111112</v>
          </cell>
          <cell r="AF259">
            <v>52.9</v>
          </cell>
          <cell r="AG259">
            <v>12</v>
          </cell>
          <cell r="AI259">
            <v>49.6</v>
          </cell>
          <cell r="AU259">
            <v>100.13520638196576</v>
          </cell>
          <cell r="AV259">
            <v>99.337049696257367</v>
          </cell>
          <cell r="AX259" t="str">
            <v>R.Regis</v>
          </cell>
        </row>
        <row r="260">
          <cell r="A260" t="str">
            <v>CA157</v>
          </cell>
          <cell r="P260">
            <v>59</v>
          </cell>
          <cell r="Q260">
            <v>5.6115107913669018</v>
          </cell>
          <cell r="T260">
            <v>0.80763888888888891</v>
          </cell>
          <cell r="U260">
            <v>0.91666666666666663</v>
          </cell>
          <cell r="V260">
            <v>49</v>
          </cell>
          <cell r="Z260">
            <v>0.27430555555555547</v>
          </cell>
          <cell r="AF260">
            <v>53.2</v>
          </cell>
          <cell r="AG260">
            <v>11.8</v>
          </cell>
          <cell r="AI260">
            <v>50.1</v>
          </cell>
          <cell r="AU260">
            <v>99.006072770899991</v>
          </cell>
          <cell r="AV260">
            <v>98.216787524181242</v>
          </cell>
          <cell r="AX260" t="str">
            <v>R.Regis</v>
          </cell>
        </row>
        <row r="261">
          <cell r="A261" t="str">
            <v>CA158</v>
          </cell>
          <cell r="P261">
            <v>61</v>
          </cell>
          <cell r="Q261">
            <v>6.5957446808510625</v>
          </cell>
          <cell r="T261">
            <v>0.90902777777777777</v>
          </cell>
          <cell r="U261">
            <v>1.0326388888888889</v>
          </cell>
          <cell r="V261">
            <v>63</v>
          </cell>
          <cell r="Z261">
            <v>0.26180555555555551</v>
          </cell>
          <cell r="AF261">
            <v>53.4</v>
          </cell>
          <cell r="AG261">
            <v>11.76</v>
          </cell>
          <cell r="AI261">
            <v>50.4</v>
          </cell>
          <cell r="AU261">
            <v>99.476489650339886</v>
          </cell>
          <cell r="AV261">
            <v>98.683411323887796</v>
          </cell>
          <cell r="AX261" t="str">
            <v>R.Regis</v>
          </cell>
        </row>
        <row r="262">
          <cell r="A262" t="str">
            <v>CA159</v>
          </cell>
          <cell r="P262">
            <v>61</v>
          </cell>
          <cell r="Q262">
            <v>3.5754189944134112</v>
          </cell>
          <cell r="T262">
            <v>0.52152777777777781</v>
          </cell>
          <cell r="U262">
            <v>0.64375000000000004</v>
          </cell>
          <cell r="V262">
            <v>71</v>
          </cell>
          <cell r="Z262">
            <v>0.25833333333333336</v>
          </cell>
          <cell r="AF262">
            <v>52.9</v>
          </cell>
          <cell r="AG262">
            <v>12.2</v>
          </cell>
          <cell r="AI262">
            <v>48.8</v>
          </cell>
          <cell r="AU262">
            <v>103.44040315564746</v>
          </cell>
          <cell r="AV262">
            <v>102.61706151401722</v>
          </cell>
          <cell r="AX262" t="str">
            <v>K.Benjamin</v>
          </cell>
        </row>
        <row r="263">
          <cell r="A263" t="str">
            <v>CA160</v>
          </cell>
          <cell r="P263">
            <v>61</v>
          </cell>
          <cell r="Q263">
            <v>5.7913669064748179</v>
          </cell>
          <cell r="T263">
            <v>0.63263888888888886</v>
          </cell>
          <cell r="U263">
            <v>0.74652777777777779</v>
          </cell>
          <cell r="V263">
            <v>59</v>
          </cell>
          <cell r="Z263">
            <v>0.26041666666666669</v>
          </cell>
          <cell r="AF263">
            <v>53.5</v>
          </cell>
          <cell r="AG263">
            <v>12</v>
          </cell>
          <cell r="AI263">
            <v>49.9</v>
          </cell>
          <cell r="AU263">
            <v>103.55524050594897</v>
          </cell>
          <cell r="AV263">
            <v>102.73084154973755</v>
          </cell>
          <cell r="AX263" t="str">
            <v>K.Benjamin</v>
          </cell>
        </row>
        <row r="264">
          <cell r="A264" t="str">
            <v>CA161</v>
          </cell>
          <cell r="P264">
            <v>60</v>
          </cell>
          <cell r="Q264">
            <v>6.5034965034965015</v>
          </cell>
          <cell r="T264">
            <v>0.74097222222222225</v>
          </cell>
          <cell r="U264">
            <v>0.8618055555555556</v>
          </cell>
          <cell r="V264">
            <v>69</v>
          </cell>
          <cell r="Z264">
            <v>0.26458333333333339</v>
          </cell>
          <cell r="AF264">
            <v>54.2</v>
          </cell>
          <cell r="AG264">
            <v>11.7</v>
          </cell>
          <cell r="AI264">
            <v>51</v>
          </cell>
          <cell r="AU264">
            <v>103.31964719473716</v>
          </cell>
          <cell r="AV264">
            <v>102.49721895381867</v>
          </cell>
          <cell r="AX264" t="str">
            <v>R.Regis</v>
          </cell>
        </row>
        <row r="265">
          <cell r="A265" t="str">
            <v>CA162</v>
          </cell>
          <cell r="P265">
            <v>61</v>
          </cell>
          <cell r="Q265">
            <v>5.5516014234875524</v>
          </cell>
          <cell r="T265">
            <v>0.83888888888888891</v>
          </cell>
          <cell r="U265">
            <v>0.96319444444444446</v>
          </cell>
          <cell r="V265">
            <v>75</v>
          </cell>
          <cell r="Z265">
            <v>0.26527777777777783</v>
          </cell>
          <cell r="AF265">
            <v>53.8</v>
          </cell>
          <cell r="AG265">
            <v>11.7</v>
          </cell>
          <cell r="AI265">
            <v>48.8</v>
          </cell>
          <cell r="AU265">
            <v>95.931616007214288</v>
          </cell>
          <cell r="AV265">
            <v>95.166965256958704</v>
          </cell>
          <cell r="AX265" t="str">
            <v>R.Regis</v>
          </cell>
        </row>
        <row r="266">
          <cell r="A266" t="str">
            <v>CA163</v>
          </cell>
          <cell r="P266">
            <v>63</v>
          </cell>
          <cell r="Q266">
            <v>6.7971530249110321</v>
          </cell>
          <cell r="T266">
            <v>0.94861111111111107</v>
          </cell>
          <cell r="U266">
            <v>1.0847222222222221</v>
          </cell>
          <cell r="V266">
            <v>81</v>
          </cell>
          <cell r="Z266">
            <v>0.28611111111111098</v>
          </cell>
          <cell r="AF266">
            <v>53.3</v>
          </cell>
          <cell r="AG266">
            <v>12.6</v>
          </cell>
          <cell r="AI266">
            <v>50.3</v>
          </cell>
          <cell r="AU266">
            <v>106.48989247788745</v>
          </cell>
          <cell r="AV266">
            <v>105.64094555266243</v>
          </cell>
          <cell r="AX266" t="str">
            <v>R.Regis</v>
          </cell>
        </row>
        <row r="267">
          <cell r="A267" t="str">
            <v>CA164</v>
          </cell>
          <cell r="P267">
            <v>59</v>
          </cell>
          <cell r="Q267">
            <v>5.0085763293310377</v>
          </cell>
          <cell r="T267">
            <v>1.3374999999999999</v>
          </cell>
          <cell r="U267">
            <v>1.4986111111111111</v>
          </cell>
          <cell r="V267">
            <v>84</v>
          </cell>
          <cell r="Z267">
            <v>0.59930555555555554</v>
          </cell>
          <cell r="AF267">
            <v>56.1</v>
          </cell>
          <cell r="AG267">
            <v>11.62</v>
          </cell>
          <cell r="AI267">
            <v>52.8</v>
          </cell>
          <cell r="AU267">
            <v>102.73439130971231</v>
          </cell>
          <cell r="AV267">
            <v>101.91547245992101</v>
          </cell>
          <cell r="AX267" t="str">
            <v>K.Benjamin</v>
          </cell>
        </row>
        <row r="268">
          <cell r="A268" t="str">
            <v>CA165</v>
          </cell>
          <cell r="P268">
            <v>63</v>
          </cell>
          <cell r="Q268">
            <v>3.0451127819548955</v>
          </cell>
          <cell r="T268">
            <v>0.4513888888888889</v>
          </cell>
          <cell r="U268">
            <v>0.58611111111111114</v>
          </cell>
          <cell r="V268">
            <v>78</v>
          </cell>
          <cell r="Z268">
            <v>0.30486111111111114</v>
          </cell>
          <cell r="AF268">
            <v>52.3</v>
          </cell>
          <cell r="AG268">
            <v>12.3</v>
          </cell>
          <cell r="AI268">
            <v>49.2</v>
          </cell>
          <cell r="AU268">
            <v>101.93738806144394</v>
          </cell>
          <cell r="AV268">
            <v>101.124866564314</v>
          </cell>
          <cell r="AX268" t="str">
            <v>K.Benjamin</v>
          </cell>
        </row>
        <row r="269">
          <cell r="A269" t="str">
            <v>CA166</v>
          </cell>
          <cell r="P269">
            <v>58</v>
          </cell>
          <cell r="Q269">
            <v>2.733812949640293</v>
          </cell>
          <cell r="T269">
            <v>0.55625000000000002</v>
          </cell>
          <cell r="U269">
            <v>0.68888888888888888</v>
          </cell>
          <cell r="V269">
            <v>98</v>
          </cell>
          <cell r="Z269">
            <v>0.2895833333333333</v>
          </cell>
          <cell r="AF269">
            <v>54.8</v>
          </cell>
          <cell r="AG269">
            <v>11.93</v>
          </cell>
          <cell r="AI269">
            <v>51.7</v>
          </cell>
          <cell r="AU269">
            <v>94.916087726339811</v>
          </cell>
          <cell r="AV269">
            <v>94.159449215076037</v>
          </cell>
          <cell r="AX269" t="str">
            <v>K.Benjamin</v>
          </cell>
        </row>
        <row r="270">
          <cell r="A270" t="str">
            <v>CA167</v>
          </cell>
          <cell r="P270">
            <v>60</v>
          </cell>
          <cell r="Q270">
            <v>10.052724077328644</v>
          </cell>
          <cell r="T270">
            <v>0.73888888888888893</v>
          </cell>
          <cell r="U270">
            <v>0.85555555555555551</v>
          </cell>
          <cell r="V270">
            <v>57</v>
          </cell>
          <cell r="Z270">
            <v>0.26180555555555551</v>
          </cell>
          <cell r="AF270">
            <v>51.9</v>
          </cell>
          <cell r="AG270">
            <v>11.75</v>
          </cell>
          <cell r="AI270">
            <v>49</v>
          </cell>
          <cell r="AU270">
            <v>96.181647145113629</v>
          </cell>
          <cell r="AV270">
            <v>95.44622050456698</v>
          </cell>
          <cell r="AX270" t="str">
            <v>R.Regis</v>
          </cell>
        </row>
        <row r="271">
          <cell r="A271" t="str">
            <v>CA168</v>
          </cell>
          <cell r="P271">
            <v>60</v>
          </cell>
          <cell r="Q271">
            <v>6.2745098039215739</v>
          </cell>
          <cell r="T271">
            <v>0.83472222222222225</v>
          </cell>
          <cell r="U271">
            <v>0.94444444444444442</v>
          </cell>
          <cell r="V271">
            <v>61</v>
          </cell>
          <cell r="Z271">
            <v>0.25</v>
          </cell>
          <cell r="AF271">
            <v>54.2</v>
          </cell>
          <cell r="AG271">
            <v>11.88</v>
          </cell>
          <cell r="AI271">
            <v>50.6</v>
          </cell>
          <cell r="AU271">
            <v>97.888884805156863</v>
          </cell>
          <cell r="AV271">
            <v>99.441430773099043</v>
          </cell>
          <cell r="AX271" t="str">
            <v>R.Regis</v>
          </cell>
        </row>
        <row r="272">
          <cell r="A272" t="str">
            <v>CA169</v>
          </cell>
          <cell r="P272">
            <v>60</v>
          </cell>
          <cell r="Q272">
            <v>6.9750889679715335</v>
          </cell>
          <cell r="T272">
            <v>0.94027777777777777</v>
          </cell>
          <cell r="U272">
            <v>1.05</v>
          </cell>
          <cell r="V272">
            <v>61</v>
          </cell>
          <cell r="Z272">
            <v>0.25138888888888888</v>
          </cell>
          <cell r="AF272">
            <v>53</v>
          </cell>
          <cell r="AG272">
            <v>12</v>
          </cell>
          <cell r="AI272">
            <v>49.5</v>
          </cell>
          <cell r="AU272">
            <v>96.606945507027518</v>
          </cell>
          <cell r="AV272">
            <v>98.139159547678673</v>
          </cell>
          <cell r="AX272" t="str">
            <v>R.Sookram</v>
          </cell>
        </row>
        <row r="273">
          <cell r="A273" t="str">
            <v>CA170</v>
          </cell>
          <cell r="P273">
            <v>57</v>
          </cell>
          <cell r="Q273">
            <v>6.0962566844919817</v>
          </cell>
          <cell r="T273">
            <v>1.0402777777777779</v>
          </cell>
          <cell r="U273">
            <v>1.1548611111111111</v>
          </cell>
          <cell r="V273">
            <v>61</v>
          </cell>
          <cell r="Z273">
            <v>0.25902777777777775</v>
          </cell>
          <cell r="AF273">
            <v>53.8</v>
          </cell>
          <cell r="AG273">
            <v>12.3</v>
          </cell>
          <cell r="AI273">
            <v>50</v>
          </cell>
          <cell r="AU273">
            <v>100.84824136478873</v>
          </cell>
          <cell r="AV273">
            <v>102.5157991082522</v>
          </cell>
          <cell r="AX273" t="str">
            <v>R.Sookram</v>
          </cell>
        </row>
        <row r="274">
          <cell r="A274" t="str">
            <v>CA171</v>
          </cell>
          <cell r="P274">
            <v>58</v>
          </cell>
          <cell r="Q274">
            <v>5.8333333333333304</v>
          </cell>
          <cell r="T274">
            <v>1.1347222222222222</v>
          </cell>
          <cell r="U274">
            <v>1.2506944444444446</v>
          </cell>
          <cell r="V274">
            <v>73</v>
          </cell>
          <cell r="Z274">
            <v>0.26805555555555571</v>
          </cell>
          <cell r="AF274">
            <v>52.7</v>
          </cell>
          <cell r="AG274">
            <v>11.98</v>
          </cell>
          <cell r="AI274">
            <v>49.1</v>
          </cell>
          <cell r="AU274">
            <v>96.736277075978393</v>
          </cell>
          <cell r="AV274">
            <v>98.335668146899948</v>
          </cell>
          <cell r="AX274" t="str">
            <v>R.Sookram</v>
          </cell>
        </row>
        <row r="275">
          <cell r="A275" t="str">
            <v>CA172</v>
          </cell>
          <cell r="P275">
            <v>57</v>
          </cell>
          <cell r="Q275">
            <v>5.7670979667282758</v>
          </cell>
          <cell r="T275">
            <v>0.23125000000000001</v>
          </cell>
          <cell r="U275">
            <v>0.35138888888888886</v>
          </cell>
          <cell r="V275">
            <v>70</v>
          </cell>
          <cell r="Z275">
            <v>0.27499999999999997</v>
          </cell>
          <cell r="AF275">
            <v>54</v>
          </cell>
          <cell r="AG275">
            <v>11.9</v>
          </cell>
          <cell r="AI275">
            <v>51.2</v>
          </cell>
          <cell r="AU275">
            <v>99.866724046583627</v>
          </cell>
          <cell r="AV275">
            <v>101.51796236631796</v>
          </cell>
          <cell r="AX275" t="str">
            <v>R.Sookram</v>
          </cell>
        </row>
        <row r="276">
          <cell r="A276" t="str">
            <v>CA173</v>
          </cell>
          <cell r="P276">
            <v>60</v>
          </cell>
          <cell r="Q276">
            <v>6.6415094339622556</v>
          </cell>
          <cell r="T276">
            <v>0.33888888888888891</v>
          </cell>
          <cell r="U276">
            <v>0.4513888888888889</v>
          </cell>
          <cell r="V276">
            <v>62</v>
          </cell>
          <cell r="Z276">
            <v>0.27777777777777779</v>
          </cell>
          <cell r="AF276">
            <v>53.9</v>
          </cell>
          <cell r="AG276">
            <v>11.7</v>
          </cell>
          <cell r="AI276">
            <v>50.6</v>
          </cell>
          <cell r="AU276">
            <v>97.312963605074586</v>
          </cell>
          <cell r="AV276">
            <v>98.921713393297736</v>
          </cell>
          <cell r="AX276" t="str">
            <v>K.Benjamin</v>
          </cell>
        </row>
        <row r="277">
          <cell r="A277" t="str">
            <v>CA174</v>
          </cell>
          <cell r="P277">
            <v>63</v>
          </cell>
          <cell r="Q277">
            <v>5.8865248226950362</v>
          </cell>
          <cell r="T277">
            <v>0.46250000000000002</v>
          </cell>
          <cell r="U277">
            <v>0.58472222222222225</v>
          </cell>
          <cell r="V277">
            <v>67</v>
          </cell>
          <cell r="Z277">
            <v>0.30347222222222225</v>
          </cell>
          <cell r="AF277">
            <v>53.8</v>
          </cell>
          <cell r="AG277">
            <v>11.8</v>
          </cell>
          <cell r="AI277">
            <v>50.5</v>
          </cell>
          <cell r="AU277">
            <v>97.751802809548707</v>
          </cell>
          <cell r="AV277">
            <v>99.367984094438157</v>
          </cell>
          <cell r="AX277" t="str">
            <v>K.Benjamin</v>
          </cell>
        </row>
        <row r="278">
          <cell r="A278" t="str">
            <v>CA175</v>
          </cell>
          <cell r="P278">
            <v>60</v>
          </cell>
          <cell r="Q278">
            <v>6.8173913043478294</v>
          </cell>
          <cell r="T278">
            <v>0.27847222222222223</v>
          </cell>
          <cell r="U278">
            <v>0.4236111111111111</v>
          </cell>
          <cell r="V278">
            <v>74</v>
          </cell>
          <cell r="Z278">
            <v>0.2986111111111111</v>
          </cell>
          <cell r="AF278">
            <v>56.5</v>
          </cell>
          <cell r="AG278">
            <v>11.7</v>
          </cell>
          <cell r="AI278">
            <v>54.8</v>
          </cell>
          <cell r="AU278">
            <v>108.34535319131975</v>
          </cell>
          <cell r="AV278">
            <v>110.13426664057377</v>
          </cell>
          <cell r="AX278" t="str">
            <v>R.Regis</v>
          </cell>
        </row>
        <row r="279">
          <cell r="A279" t="str">
            <v>CA176</v>
          </cell>
          <cell r="P279">
            <v>59</v>
          </cell>
          <cell r="Q279">
            <v>6.7491166077738516</v>
          </cell>
          <cell r="T279">
            <v>0.62777777777777777</v>
          </cell>
          <cell r="U279">
            <v>0.73541666666666672</v>
          </cell>
          <cell r="V279">
            <v>54</v>
          </cell>
          <cell r="Z279">
            <v>0.25625000000000003</v>
          </cell>
          <cell r="AF279">
            <v>54.4</v>
          </cell>
          <cell r="AG279">
            <v>11.73</v>
          </cell>
          <cell r="AI279">
            <v>50.8</v>
          </cell>
          <cell r="AU279">
            <v>97.455960743822175</v>
          </cell>
          <cell r="AV279">
            <v>99.067250718309481</v>
          </cell>
          <cell r="AX279" t="str">
            <v>R.Sookram</v>
          </cell>
        </row>
        <row r="280">
          <cell r="A280" t="str">
            <v>CA177</v>
          </cell>
          <cell r="P280">
            <v>57</v>
          </cell>
          <cell r="Q280">
            <v>5.7706093189964145</v>
          </cell>
          <cell r="T280">
            <v>0.73888888888888893</v>
          </cell>
          <cell r="U280">
            <v>0.84375</v>
          </cell>
          <cell r="V280">
            <v>54</v>
          </cell>
          <cell r="Z280">
            <v>0.26041666666666663</v>
          </cell>
          <cell r="AF280">
            <v>53.3</v>
          </cell>
          <cell r="AG280">
            <v>11.84</v>
          </cell>
          <cell r="AI280">
            <v>49.7</v>
          </cell>
          <cell r="AU280">
            <v>96.084434808486492</v>
          </cell>
          <cell r="AV280">
            <v>97.673135170899329</v>
          </cell>
          <cell r="AX280" t="str">
            <v>K.Benjamin</v>
          </cell>
        </row>
        <row r="281">
          <cell r="A281" t="str">
            <v>CA178</v>
          </cell>
          <cell r="P281">
            <v>59</v>
          </cell>
          <cell r="Q281">
            <v>6.0746003552397774</v>
          </cell>
          <cell r="T281">
            <v>0.83333333333333337</v>
          </cell>
          <cell r="U281">
            <v>0.94930555555555551</v>
          </cell>
          <cell r="V281">
            <v>55</v>
          </cell>
          <cell r="Z281">
            <v>0.25138888888888888</v>
          </cell>
          <cell r="AF281">
            <v>54.5</v>
          </cell>
          <cell r="AG281">
            <v>11.77</v>
          </cell>
          <cell r="AI281">
            <v>51</v>
          </cell>
          <cell r="AU281">
            <v>98.233712305667396</v>
          </cell>
          <cell r="AV281">
            <v>99.858213839648386</v>
          </cell>
          <cell r="AX281" t="str">
            <v>K.Benjamin</v>
          </cell>
        </row>
        <row r="282">
          <cell r="A282" t="str">
            <v>CA179</v>
          </cell>
          <cell r="P282">
            <v>60</v>
          </cell>
          <cell r="Q282">
            <v>5.1865008880994576</v>
          </cell>
          <cell r="T282">
            <v>0.97569444444444442</v>
          </cell>
          <cell r="U282">
            <v>1.0819444444444444</v>
          </cell>
          <cell r="V282">
            <v>56</v>
          </cell>
          <cell r="Z282">
            <v>0.2451388888888888</v>
          </cell>
          <cell r="AF282">
            <v>54.1</v>
          </cell>
          <cell r="AG282">
            <v>11.98</v>
          </cell>
          <cell r="AI282">
            <v>50.4</v>
          </cell>
          <cell r="AU282">
            <v>98.24308419119933</v>
          </cell>
          <cell r="AV282">
            <v>99.801416269981829</v>
          </cell>
          <cell r="AX282" t="str">
            <v>R.Regis</v>
          </cell>
        </row>
        <row r="283">
          <cell r="A283" t="str">
            <v>CA180</v>
          </cell>
          <cell r="P283">
            <v>60</v>
          </cell>
          <cell r="Q283">
            <v>5.659050966608083</v>
          </cell>
          <cell r="T283">
            <v>1.0833333333333333</v>
          </cell>
          <cell r="U283">
            <v>1.1888888888888889</v>
          </cell>
          <cell r="V283">
            <v>58</v>
          </cell>
          <cell r="Z283">
            <v>0.24791666666666667</v>
          </cell>
          <cell r="AF283">
            <v>54.4</v>
          </cell>
          <cell r="AG283">
            <v>11.78</v>
          </cell>
          <cell r="AI283">
            <v>50.8</v>
          </cell>
          <cell r="AU283">
            <v>98.332506588615331</v>
          </cell>
          <cell r="AV283">
            <v>99.958288950444711</v>
          </cell>
          <cell r="AX283" t="str">
            <v>R.Regis</v>
          </cell>
        </row>
        <row r="284">
          <cell r="A284" t="str">
            <v>CA181</v>
          </cell>
          <cell r="P284">
            <v>57</v>
          </cell>
          <cell r="Q284">
            <v>4.4601769911504361</v>
          </cell>
          <cell r="T284">
            <v>0.41319444444444442</v>
          </cell>
          <cell r="U284">
            <v>0.52222222222222225</v>
          </cell>
          <cell r="V284">
            <v>61</v>
          </cell>
          <cell r="Z284">
            <v>0.27083333333333337</v>
          </cell>
          <cell r="AF284">
            <v>54.7</v>
          </cell>
          <cell r="AG284">
            <v>11.7</v>
          </cell>
          <cell r="AI284">
            <v>48.6</v>
          </cell>
          <cell r="AU284">
            <v>92.662463281061918</v>
          </cell>
          <cell r="AV284">
            <v>94.19491510435617</v>
          </cell>
          <cell r="AX284" t="str">
            <v>R.Sookram</v>
          </cell>
        </row>
        <row r="285">
          <cell r="A285" t="str">
            <v>CA182</v>
          </cell>
          <cell r="P285">
            <v>59</v>
          </cell>
          <cell r="Q285">
            <v>4.2530755711774946</v>
          </cell>
          <cell r="T285">
            <v>0.53611111111111109</v>
          </cell>
          <cell r="U285">
            <v>0.64027777777777783</v>
          </cell>
          <cell r="V285">
            <v>60</v>
          </cell>
          <cell r="Z285">
            <v>0.27222222222222225</v>
          </cell>
          <cell r="AF285">
            <v>55.2</v>
          </cell>
          <cell r="AG285">
            <v>11.5</v>
          </cell>
          <cell r="AI285">
            <v>51.8</v>
          </cell>
          <cell r="AU285">
            <v>97.346014307803912</v>
          </cell>
          <cell r="AV285">
            <v>98.955661613076231</v>
          </cell>
          <cell r="AX285" t="str">
            <v>R.Sookram</v>
          </cell>
        </row>
        <row r="286">
          <cell r="A286" t="str">
            <v>CA183</v>
          </cell>
          <cell r="P286">
            <v>60</v>
          </cell>
          <cell r="Q286">
            <v>0.22641509433961779</v>
          </cell>
          <cell r="T286">
            <v>0.66527777777777775</v>
          </cell>
          <cell r="U286">
            <v>0.81388888888888899</v>
          </cell>
          <cell r="V286">
            <v>71</v>
          </cell>
          <cell r="Z286">
            <v>0.29305555555555562</v>
          </cell>
          <cell r="AF286">
            <v>54.4</v>
          </cell>
          <cell r="AG286">
            <v>11.8</v>
          </cell>
          <cell r="AI286">
            <v>51.4</v>
          </cell>
          <cell r="AU286">
            <v>98.678864505842682</v>
          </cell>
          <cell r="AV286">
            <v>100.24377021214033</v>
          </cell>
          <cell r="AX286" t="str">
            <v>K.Benjamin</v>
          </cell>
        </row>
        <row r="287">
          <cell r="A287" t="str">
            <v>CA184</v>
          </cell>
          <cell r="P287">
            <v>60</v>
          </cell>
          <cell r="Q287">
            <v>8.398576512455513</v>
          </cell>
          <cell r="T287">
            <v>0.6694444444444444</v>
          </cell>
          <cell r="U287">
            <v>0.79375000000000007</v>
          </cell>
          <cell r="V287">
            <v>59</v>
          </cell>
          <cell r="Z287">
            <v>0.26597222222222228</v>
          </cell>
          <cell r="AF287">
            <v>52.2</v>
          </cell>
          <cell r="AG287">
            <v>11.61</v>
          </cell>
          <cell r="AI287">
            <v>48.6</v>
          </cell>
          <cell r="AU287">
            <v>91.779024513115218</v>
          </cell>
          <cell r="AV287">
            <v>93.207373855372751</v>
          </cell>
          <cell r="AX287" t="str">
            <v>K.Benjamin</v>
          </cell>
        </row>
        <row r="288">
          <cell r="A288" t="str">
            <v>CA185</v>
          </cell>
          <cell r="P288">
            <v>59</v>
          </cell>
          <cell r="Q288">
            <v>8.3818181818181809</v>
          </cell>
          <cell r="T288">
            <v>0.79166666666666663</v>
          </cell>
          <cell r="U288">
            <v>0.90763888888888899</v>
          </cell>
          <cell r="V288">
            <v>61</v>
          </cell>
          <cell r="Z288">
            <v>0.26875000000000004</v>
          </cell>
          <cell r="AF288">
            <v>52.4</v>
          </cell>
          <cell r="AG288">
            <v>11.66</v>
          </cell>
          <cell r="AI288">
            <v>48.8</v>
          </cell>
          <cell r="AU288">
            <v>93.197398193182465</v>
          </cell>
          <cell r="AV288">
            <v>94.556324836230189</v>
          </cell>
          <cell r="AX288" t="str">
            <v>K.Benjamin</v>
          </cell>
        </row>
        <row r="289">
          <cell r="A289" t="str">
            <v>CA186</v>
          </cell>
          <cell r="P289">
            <v>61</v>
          </cell>
          <cell r="Q289">
            <v>5.5616942909760523</v>
          </cell>
          <cell r="T289">
            <v>0.89097222222222217</v>
          </cell>
          <cell r="U289">
            <v>0.99583333333333324</v>
          </cell>
          <cell r="V289">
            <v>59</v>
          </cell>
          <cell r="Z289">
            <v>0.24236111111111103</v>
          </cell>
          <cell r="AF289">
            <v>52.4</v>
          </cell>
          <cell r="AG289">
            <v>11.65</v>
          </cell>
          <cell r="AI289">
            <v>48.6</v>
          </cell>
          <cell r="AU289">
            <v>89.6398714567338</v>
          </cell>
          <cell r="AV289">
            <v>91.0388949218855</v>
          </cell>
          <cell r="AX289" t="str">
            <v>K.Benjamin</v>
          </cell>
        </row>
        <row r="290">
          <cell r="A290" t="str">
            <v>CA187</v>
          </cell>
          <cell r="P290">
            <v>61</v>
          </cell>
          <cell r="Q290">
            <v>6.7253521126760445</v>
          </cell>
          <cell r="T290">
            <v>0.9916666666666667</v>
          </cell>
          <cell r="U290">
            <v>1.1055555555555556</v>
          </cell>
          <cell r="V290">
            <v>65</v>
          </cell>
          <cell r="Z290">
            <v>0.25486111111111109</v>
          </cell>
          <cell r="AF290">
            <v>54.6</v>
          </cell>
          <cell r="AG290">
            <v>11.87</v>
          </cell>
          <cell r="AI290">
            <v>51.2</v>
          </cell>
          <cell r="AU290">
            <v>100.14422471363589</v>
          </cell>
          <cell r="AV290">
            <v>101.76918083076833</v>
          </cell>
          <cell r="AX290" t="str">
            <v>R.Regis</v>
          </cell>
        </row>
        <row r="291">
          <cell r="A291" t="str">
            <v>CA188</v>
          </cell>
          <cell r="P291">
            <v>61</v>
          </cell>
          <cell r="Q291">
            <v>7.6731793960923502</v>
          </cell>
          <cell r="T291">
            <v>1.0951388888888889</v>
          </cell>
          <cell r="U291">
            <v>1.2034722222222223</v>
          </cell>
          <cell r="V291">
            <v>58</v>
          </cell>
          <cell r="Z291">
            <v>0.25555555555555565</v>
          </cell>
          <cell r="AF291">
            <v>52.7</v>
          </cell>
          <cell r="AG291">
            <v>11.83</v>
          </cell>
          <cell r="AI291">
            <v>50.2</v>
          </cell>
          <cell r="AU291">
            <v>96.721958172382543</v>
          </cell>
          <cell r="AV291">
            <v>98.291810485300957</v>
          </cell>
          <cell r="AX291" t="str">
            <v>R.Regis</v>
          </cell>
        </row>
        <row r="292">
          <cell r="A292" t="str">
            <v>CA189</v>
          </cell>
          <cell r="P292">
            <v>60</v>
          </cell>
          <cell r="Q292">
            <v>6.0530973451327466</v>
          </cell>
          <cell r="T292">
            <v>0.2076388888888889</v>
          </cell>
          <cell r="U292">
            <v>0.32222222222222224</v>
          </cell>
          <cell r="V292">
            <v>66</v>
          </cell>
          <cell r="Z292">
            <v>0.26666666666666672</v>
          </cell>
          <cell r="AF292">
            <v>55.1</v>
          </cell>
          <cell r="AG292">
            <v>11.8</v>
          </cell>
          <cell r="AI292">
            <v>51.6</v>
          </cell>
          <cell r="AU292">
            <v>99.66467104367139</v>
          </cell>
          <cell r="AV292">
            <v>101.28211014334359</v>
          </cell>
          <cell r="AX292" t="str">
            <v>R.Regis</v>
          </cell>
        </row>
        <row r="293">
          <cell r="A293" t="str">
            <v>CA190</v>
          </cell>
          <cell r="P293">
            <v>56</v>
          </cell>
          <cell r="Q293">
            <v>3.9713774597495513</v>
          </cell>
          <cell r="T293">
            <v>0.31666666666666665</v>
          </cell>
          <cell r="U293">
            <v>0.42638888888888887</v>
          </cell>
          <cell r="V293">
            <v>64</v>
          </cell>
          <cell r="Z293">
            <v>0.2631944444444444</v>
          </cell>
          <cell r="AF293">
            <v>56.2</v>
          </cell>
          <cell r="AG293">
            <v>11.8</v>
          </cell>
          <cell r="AI293">
            <v>52.4</v>
          </cell>
          <cell r="AU293">
            <v>101.46018254984246</v>
          </cell>
          <cell r="AV293">
            <v>103.10658151581305</v>
          </cell>
          <cell r="AX293" t="str">
            <v>R.Sookram</v>
          </cell>
        </row>
        <row r="294">
          <cell r="A294" t="str">
            <v>CA191</v>
          </cell>
          <cell r="P294">
            <v>60</v>
          </cell>
          <cell r="Q294">
            <v>4.6289752650176634</v>
          </cell>
          <cell r="T294">
            <v>0.41736111111111113</v>
          </cell>
          <cell r="U294">
            <v>0.52916666666666667</v>
          </cell>
          <cell r="V294">
            <v>65</v>
          </cell>
          <cell r="Z294">
            <v>0.25486111111111115</v>
          </cell>
          <cell r="AF294">
            <v>55.6</v>
          </cell>
          <cell r="AG294">
            <v>12</v>
          </cell>
          <cell r="AI294">
            <v>52.1</v>
          </cell>
          <cell r="AU294">
            <v>102.67780014140652</v>
          </cell>
          <cell r="AV294">
            <v>104.34395744304454</v>
          </cell>
          <cell r="AX294" t="str">
            <v>R.Sookram</v>
          </cell>
        </row>
        <row r="295">
          <cell r="A295" t="str">
            <v>CA192</v>
          </cell>
          <cell r="P295">
            <v>60</v>
          </cell>
          <cell r="Q295">
            <v>5.9655831739961718</v>
          </cell>
          <cell r="T295">
            <v>0.67569444444444438</v>
          </cell>
          <cell r="U295">
            <v>0.80833333333333324</v>
          </cell>
          <cell r="V295">
            <v>59</v>
          </cell>
          <cell r="Z295">
            <v>0.26666666666666661</v>
          </cell>
          <cell r="AF295">
            <v>50.3</v>
          </cell>
          <cell r="AG295">
            <v>11.64</v>
          </cell>
          <cell r="AI295">
            <v>47</v>
          </cell>
          <cell r="AU295">
            <v>101.8514455792621</v>
          </cell>
          <cell r="AV295">
            <v>103.49402544928333</v>
          </cell>
          <cell r="AX295" t="str">
            <v>K.Benjamin</v>
          </cell>
        </row>
        <row r="296">
          <cell r="A296" t="str">
            <v>CA193</v>
          </cell>
          <cell r="P296">
            <v>59</v>
          </cell>
          <cell r="Q296">
            <v>8.8014311270125134</v>
          </cell>
          <cell r="T296">
            <v>1.0243055555555556</v>
          </cell>
          <cell r="U296">
            <v>1.1631944444444444</v>
          </cell>
          <cell r="V296">
            <v>62</v>
          </cell>
          <cell r="Z296">
            <v>0.28819444444444442</v>
          </cell>
          <cell r="AF296">
            <v>54.2</v>
          </cell>
          <cell r="AG296">
            <v>11.7</v>
          </cell>
          <cell r="AI296">
            <v>50.4</v>
          </cell>
          <cell r="AU296">
            <v>100.31098207591012</v>
          </cell>
          <cell r="AV296">
            <v>101.55002808115484</v>
          </cell>
          <cell r="AX296" t="str">
            <v>R.Sookram</v>
          </cell>
        </row>
        <row r="297">
          <cell r="A297" t="str">
            <v>CA194</v>
          </cell>
          <cell r="P297">
            <v>61</v>
          </cell>
          <cell r="Q297">
            <v>8.6535008976660688</v>
          </cell>
          <cell r="T297">
            <v>1.1611111111111112</v>
          </cell>
          <cell r="U297">
            <v>1.3118055555555554</v>
          </cell>
          <cell r="V297">
            <v>60</v>
          </cell>
          <cell r="Z297">
            <v>0.32222222222222208</v>
          </cell>
          <cell r="AF297">
            <v>53.3</v>
          </cell>
          <cell r="AG297">
            <v>12</v>
          </cell>
          <cell r="AI297">
            <v>50.2</v>
          </cell>
          <cell r="AU297">
            <v>102.74010817185233</v>
          </cell>
          <cell r="AV297">
            <v>104.00908476743047</v>
          </cell>
          <cell r="AX297" t="str">
            <v>K.Benjamin</v>
          </cell>
        </row>
        <row r="298">
          <cell r="A298" t="str">
            <v>CA195</v>
          </cell>
          <cell r="P298">
            <v>60</v>
          </cell>
          <cell r="Q298">
            <v>7.5596330275229313</v>
          </cell>
          <cell r="T298">
            <v>0.33333333333333331</v>
          </cell>
          <cell r="U298">
            <v>0.57916666666666672</v>
          </cell>
          <cell r="V298">
            <v>56</v>
          </cell>
          <cell r="Z298">
            <v>0.46111111111111114</v>
          </cell>
          <cell r="AF298">
            <v>53.6</v>
          </cell>
          <cell r="AG298">
            <v>12.4</v>
          </cell>
          <cell r="AI298">
            <v>48.3</v>
          </cell>
          <cell r="AU298">
            <v>98.313519336144523</v>
          </cell>
          <cell r="AV298">
            <v>99.479773542399329</v>
          </cell>
          <cell r="AX298" t="str">
            <v>R.Regis</v>
          </cell>
        </row>
        <row r="299">
          <cell r="A299" t="str">
            <v>CA196</v>
          </cell>
          <cell r="P299">
            <v>61</v>
          </cell>
          <cell r="Q299">
            <v>6.7730496453900706</v>
          </cell>
          <cell r="T299">
            <v>0.59930555555555554</v>
          </cell>
          <cell r="U299">
            <v>0.71388888888888891</v>
          </cell>
          <cell r="V299">
            <v>66</v>
          </cell>
          <cell r="Z299">
            <v>0.42222222222222222</v>
          </cell>
          <cell r="AF299">
            <v>53.3</v>
          </cell>
          <cell r="AG299">
            <v>11.88</v>
          </cell>
          <cell r="AI299">
            <v>49.4</v>
          </cell>
          <cell r="AU299">
            <v>96.991620603991933</v>
          </cell>
          <cell r="AV299">
            <v>98.191358067186627</v>
          </cell>
          <cell r="AX299" t="str">
            <v>R.Regis</v>
          </cell>
        </row>
        <row r="300">
          <cell r="A300" t="str">
            <v>CA197</v>
          </cell>
          <cell r="P300">
            <v>57</v>
          </cell>
          <cell r="Q300">
            <v>5.7706093189964145</v>
          </cell>
          <cell r="T300">
            <v>0.84583333333333333</v>
          </cell>
          <cell r="U300">
            <v>0.95416666666666672</v>
          </cell>
          <cell r="V300">
            <v>61</v>
          </cell>
          <cell r="Z300">
            <v>0.25277777777777788</v>
          </cell>
          <cell r="AF300">
            <v>53.7</v>
          </cell>
          <cell r="AG300">
            <v>11.9</v>
          </cell>
          <cell r="AI300">
            <v>50</v>
          </cell>
          <cell r="AU300">
            <v>98.291339046896496</v>
          </cell>
          <cell r="AV300">
            <v>99.507086810001695</v>
          </cell>
          <cell r="AX300" t="str">
            <v>R.Sookram</v>
          </cell>
        </row>
        <row r="301">
          <cell r="A301" t="str">
            <v>CA198</v>
          </cell>
          <cell r="P301">
            <v>58</v>
          </cell>
          <cell r="Q301">
            <v>5.7913669064748179</v>
          </cell>
          <cell r="T301">
            <v>0.95138888888888884</v>
          </cell>
          <cell r="U301">
            <v>1.0618055555555554</v>
          </cell>
          <cell r="V301">
            <v>63</v>
          </cell>
          <cell r="Z301">
            <v>0.25277777777777766</v>
          </cell>
          <cell r="AF301">
            <v>54</v>
          </cell>
          <cell r="AG301">
            <v>11.91</v>
          </cell>
          <cell r="AI301">
            <v>50.4</v>
          </cell>
          <cell r="AU301">
            <v>98.955013733627396</v>
          </cell>
          <cell r="AV301">
            <v>100.17903738028755</v>
          </cell>
          <cell r="AX301" t="str">
            <v>R.Sookram</v>
          </cell>
        </row>
        <row r="302">
          <cell r="A302" t="str">
            <v>CA199</v>
          </cell>
          <cell r="P302">
            <v>60</v>
          </cell>
          <cell r="Q302">
            <v>7.1276595744680789</v>
          </cell>
          <cell r="T302">
            <v>1.0534722222222221</v>
          </cell>
          <cell r="U302">
            <v>1.1673611111111111</v>
          </cell>
          <cell r="V302">
            <v>58</v>
          </cell>
          <cell r="Z302">
            <v>0.25416666666666665</v>
          </cell>
          <cell r="AF302">
            <v>53.5</v>
          </cell>
          <cell r="AG302">
            <v>11.95</v>
          </cell>
          <cell r="AI302">
            <v>50.1</v>
          </cell>
          <cell r="AU302">
            <v>99.112393932911999</v>
          </cell>
          <cell r="AV302">
            <v>100.33843124561481</v>
          </cell>
          <cell r="AX302" t="str">
            <v>K.Benjamin</v>
          </cell>
        </row>
        <row r="303">
          <cell r="A303" t="str">
            <v>CA200</v>
          </cell>
          <cell r="P303">
            <v>61</v>
          </cell>
          <cell r="Q303">
            <v>5.8553791887125222</v>
          </cell>
          <cell r="T303">
            <v>1.15625</v>
          </cell>
          <cell r="U303">
            <v>1.2666666666666666</v>
          </cell>
          <cell r="V303">
            <v>62</v>
          </cell>
          <cell r="Z303">
            <v>0.24930555555555545</v>
          </cell>
          <cell r="AF303">
            <v>54.1</v>
          </cell>
          <cell r="AG303">
            <v>11.7</v>
          </cell>
          <cell r="AI303">
            <v>50.9</v>
          </cell>
          <cell r="AU303">
            <v>98.049377375814046</v>
          </cell>
          <cell r="AV303">
            <v>99.262264991377009</v>
          </cell>
          <cell r="AX303" t="str">
            <v>K.Benjamin</v>
          </cell>
        </row>
        <row r="304">
          <cell r="A304" t="str">
            <v>CA201</v>
          </cell>
          <cell r="P304">
            <v>60</v>
          </cell>
          <cell r="Q304">
            <v>7.1657754010695243</v>
          </cell>
          <cell r="T304">
            <v>0.30694444444444446</v>
          </cell>
          <cell r="U304">
            <v>0.44097222222222221</v>
          </cell>
          <cell r="V304">
            <v>62</v>
          </cell>
          <cell r="Z304">
            <v>0.27430555555555558</v>
          </cell>
          <cell r="AF304">
            <v>54.1</v>
          </cell>
          <cell r="AG304">
            <v>11.76</v>
          </cell>
          <cell r="AI304">
            <v>50.4</v>
          </cell>
          <cell r="AU304">
            <v>97.140907627227477</v>
          </cell>
          <cell r="AV304">
            <v>98.293502309180397</v>
          </cell>
          <cell r="AX304" t="str">
            <v>R.Regis</v>
          </cell>
        </row>
        <row r="305">
          <cell r="A305" t="str">
            <v>CA202</v>
          </cell>
          <cell r="P305">
            <v>59</v>
          </cell>
          <cell r="Q305">
            <v>7.9999999999999929</v>
          </cell>
          <cell r="T305">
            <v>0.41249999999999998</v>
          </cell>
          <cell r="U305">
            <v>0.52569444444444446</v>
          </cell>
          <cell r="V305">
            <v>61</v>
          </cell>
          <cell r="Z305">
            <v>0.25486111111111115</v>
          </cell>
          <cell r="AF305">
            <v>53.6</v>
          </cell>
          <cell r="AG305">
            <v>11.72</v>
          </cell>
          <cell r="AI305">
            <v>50.1</v>
          </cell>
          <cell r="AU305">
            <v>97.108675302847075</v>
          </cell>
          <cell r="AV305">
            <v>98.309596647288217</v>
          </cell>
          <cell r="AX305" t="str">
            <v>R.Regis</v>
          </cell>
        </row>
        <row r="306">
          <cell r="A306" t="str">
            <v>CA203</v>
          </cell>
          <cell r="P306">
            <v>60</v>
          </cell>
          <cell r="Q306">
            <v>6.46428571428571</v>
          </cell>
          <cell r="T306">
            <v>0.54305555555555551</v>
          </cell>
          <cell r="U306">
            <v>0.65763888888888888</v>
          </cell>
          <cell r="V306">
            <v>62</v>
          </cell>
          <cell r="Z306">
            <v>0.28263888888888888</v>
          </cell>
          <cell r="AF306">
            <v>54.4</v>
          </cell>
          <cell r="AG306">
            <v>11.78</v>
          </cell>
          <cell r="AI306">
            <v>51.3</v>
          </cell>
          <cell r="AU306">
            <v>99.955896952490676</v>
          </cell>
          <cell r="AV306">
            <v>101.19223333072624</v>
          </cell>
          <cell r="AX306" t="str">
            <v>R.Regis</v>
          </cell>
        </row>
        <row r="307">
          <cell r="A307" t="str">
            <v>CA204</v>
          </cell>
          <cell r="P307">
            <v>57</v>
          </cell>
          <cell r="Q307">
            <v>6.2068965517241406</v>
          </cell>
          <cell r="T307">
            <v>0.68263888888888891</v>
          </cell>
          <cell r="U307">
            <v>0.78402777777777777</v>
          </cell>
          <cell r="V307">
            <v>59</v>
          </cell>
          <cell r="Z307">
            <v>0.24236111111111114</v>
          </cell>
          <cell r="AF307">
            <v>53.3</v>
          </cell>
          <cell r="AG307">
            <v>11.76</v>
          </cell>
          <cell r="AI307">
            <v>49.6</v>
          </cell>
          <cell r="AU307">
            <v>96.285477000540993</v>
          </cell>
          <cell r="AV307">
            <v>97.476609748020252</v>
          </cell>
          <cell r="AX307" t="str">
            <v>R.Sookram</v>
          </cell>
        </row>
        <row r="308">
          <cell r="A308" t="str">
            <v>CA205</v>
          </cell>
          <cell r="P308">
            <v>58</v>
          </cell>
          <cell r="Q308">
            <v>6.1071428571428603</v>
          </cell>
          <cell r="T308">
            <v>0.78611111111111109</v>
          </cell>
          <cell r="U308">
            <v>0.88680555555555551</v>
          </cell>
          <cell r="V308">
            <v>59</v>
          </cell>
          <cell r="Z308">
            <v>0.24097222222222214</v>
          </cell>
          <cell r="AF308">
            <v>53.3</v>
          </cell>
          <cell r="AG308">
            <v>11.7</v>
          </cell>
          <cell r="AI308">
            <v>47.8</v>
          </cell>
          <cell r="AU308">
            <v>95.136209191041715</v>
          </cell>
          <cell r="AV308">
            <v>96.311336156333326</v>
          </cell>
          <cell r="AX308" t="str">
            <v>R.Sookram</v>
          </cell>
        </row>
        <row r="309">
          <cell r="A309" t="str">
            <v>CA206</v>
          </cell>
          <cell r="P309">
            <v>61</v>
          </cell>
          <cell r="Q309">
            <v>6.6547406082289786</v>
          </cell>
          <cell r="T309">
            <v>0.88958333333333328</v>
          </cell>
          <cell r="U309">
            <v>1.0104166666666667</v>
          </cell>
          <cell r="V309">
            <v>62</v>
          </cell>
          <cell r="Z309">
            <v>0.26041666666666674</v>
          </cell>
          <cell r="AF309">
            <v>55.9</v>
          </cell>
          <cell r="AG309">
            <v>11.95</v>
          </cell>
          <cell r="AI309">
            <v>52.7</v>
          </cell>
          <cell r="AU309">
            <v>104.12720344993677</v>
          </cell>
          <cell r="AV309">
            <v>105.41534498276583</v>
          </cell>
          <cell r="AX309" t="str">
            <v>R.Sookram</v>
          </cell>
        </row>
        <row r="310">
          <cell r="A310" t="str">
            <v>CA207</v>
          </cell>
          <cell r="P310">
            <v>62</v>
          </cell>
          <cell r="Q310">
            <v>5.2898550724637703</v>
          </cell>
          <cell r="T310">
            <v>1.0395833333333333</v>
          </cell>
          <cell r="U310">
            <v>1.1493055555555556</v>
          </cell>
          <cell r="V310">
            <v>59</v>
          </cell>
          <cell r="Z310">
            <v>0.25347222222222221</v>
          </cell>
          <cell r="AF310">
            <v>53.9</v>
          </cell>
          <cell r="AG310">
            <v>11.93</v>
          </cell>
          <cell r="AI310">
            <v>50.7</v>
          </cell>
          <cell r="AU310">
            <v>99.544031672518045</v>
          </cell>
          <cell r="AV310">
            <v>100.77534117421787</v>
          </cell>
          <cell r="AX310" t="str">
            <v>K.Benjamin</v>
          </cell>
        </row>
        <row r="311">
          <cell r="A311" t="str">
            <v>CA208</v>
          </cell>
          <cell r="P311">
            <v>59</v>
          </cell>
          <cell r="Q311">
            <v>6.4527629233511536</v>
          </cell>
          <cell r="T311">
            <v>1.1597222222222223</v>
          </cell>
          <cell r="U311">
            <v>1.2666666666666666</v>
          </cell>
          <cell r="V311">
            <v>56</v>
          </cell>
          <cell r="Z311">
            <v>0.24583333333333335</v>
          </cell>
          <cell r="AF311">
            <v>53.2</v>
          </cell>
          <cell r="AG311">
            <v>11.8</v>
          </cell>
          <cell r="AI311">
            <v>49.9</v>
          </cell>
          <cell r="AU311">
            <v>97.107689466916568</v>
          </cell>
          <cell r="AV311">
            <v>98.308862643447043</v>
          </cell>
          <cell r="AX311" t="str">
            <v>K.Benjamin</v>
          </cell>
        </row>
        <row r="312">
          <cell r="A312" t="str">
            <v>CA209</v>
          </cell>
          <cell r="P312">
            <v>60</v>
          </cell>
          <cell r="Q312">
            <v>5.3736654804270509</v>
          </cell>
          <cell r="T312">
            <v>0.30763888888888891</v>
          </cell>
          <cell r="U312">
            <v>0.42916666666666664</v>
          </cell>
          <cell r="V312">
            <v>58</v>
          </cell>
          <cell r="Z312">
            <v>0.26249999999999996</v>
          </cell>
          <cell r="AF312">
            <v>53.9</v>
          </cell>
          <cell r="AG312">
            <v>11.8</v>
          </cell>
          <cell r="AI312">
            <v>49.5</v>
          </cell>
          <cell r="AU312">
            <v>95.640781997288045</v>
          </cell>
          <cell r="AV312">
            <v>96.775330582742143</v>
          </cell>
          <cell r="AX312" t="str">
            <v>R.Regis</v>
          </cell>
        </row>
        <row r="313">
          <cell r="A313" t="str">
            <v>CA210</v>
          </cell>
          <cell r="P313">
            <v>60</v>
          </cell>
          <cell r="Q313">
            <v>5.2982456140350802</v>
          </cell>
          <cell r="T313">
            <v>0.41805555555555557</v>
          </cell>
          <cell r="U313">
            <v>0.52847222222222223</v>
          </cell>
          <cell r="V313">
            <v>59</v>
          </cell>
          <cell r="Z313">
            <v>0.25763888888888892</v>
          </cell>
          <cell r="AF313">
            <v>54.7</v>
          </cell>
          <cell r="AG313">
            <v>11.8</v>
          </cell>
          <cell r="AI313">
            <v>51.2</v>
          </cell>
          <cell r="AU313">
            <v>98.925414914366613</v>
          </cell>
          <cell r="AV313">
            <v>100.09892779467468</v>
          </cell>
          <cell r="AX313" t="str">
            <v>R.Regis</v>
          </cell>
        </row>
        <row r="314">
          <cell r="A314" t="str">
            <v>CA211</v>
          </cell>
          <cell r="P314">
            <v>61</v>
          </cell>
          <cell r="Q314">
            <v>3.6594202898550781</v>
          </cell>
          <cell r="T314">
            <v>0.5395833333333333</v>
          </cell>
          <cell r="U314">
            <v>0.65972222222222221</v>
          </cell>
          <cell r="V314">
            <v>63</v>
          </cell>
          <cell r="Z314">
            <v>0.2638888888888889</v>
          </cell>
          <cell r="AF314">
            <v>54.3</v>
          </cell>
          <cell r="AG314">
            <v>11.89</v>
          </cell>
          <cell r="AI314">
            <v>51.7</v>
          </cell>
          <cell r="AU314">
            <v>100.41166904509818</v>
          </cell>
          <cell r="AV314">
            <v>101.60320100729683</v>
          </cell>
          <cell r="AX314" t="str">
            <v>R.Regis</v>
          </cell>
        </row>
        <row r="315">
          <cell r="A315" t="str">
            <v>CA212</v>
          </cell>
          <cell r="P315">
            <v>57</v>
          </cell>
          <cell r="Q315">
            <v>4.1354723707664887</v>
          </cell>
          <cell r="T315">
            <v>0.66527777777777775</v>
          </cell>
          <cell r="U315">
            <v>0.77083333333333337</v>
          </cell>
          <cell r="V315">
            <v>63</v>
          </cell>
          <cell r="Z315">
            <v>0.25</v>
          </cell>
          <cell r="AF315">
            <v>54.5</v>
          </cell>
          <cell r="AG315">
            <v>12</v>
          </cell>
          <cell r="AI315">
            <v>50.6</v>
          </cell>
          <cell r="AU315">
            <v>100.10153958094506</v>
          </cell>
          <cell r="AV315">
            <v>101.33981279497223</v>
          </cell>
          <cell r="AX315" t="str">
            <v>R.Sookram</v>
          </cell>
        </row>
        <row r="316">
          <cell r="A316" t="str">
            <v>CA213</v>
          </cell>
          <cell r="P316">
            <v>57</v>
          </cell>
          <cell r="Q316">
            <v>3.5879218472468848</v>
          </cell>
          <cell r="T316">
            <v>0.78402777777777777</v>
          </cell>
          <cell r="U316">
            <v>0.88749999999999996</v>
          </cell>
          <cell r="V316">
            <v>60</v>
          </cell>
          <cell r="Z316">
            <v>0.24166666666666659</v>
          </cell>
          <cell r="AF316">
            <v>55</v>
          </cell>
          <cell r="AG316">
            <v>11.99</v>
          </cell>
          <cell r="AI316">
            <v>51.5</v>
          </cell>
          <cell r="AU316">
            <v>102.1345698780635</v>
          </cell>
          <cell r="AV316">
            <v>103.39785386695823</v>
          </cell>
          <cell r="AX316" t="str">
            <v>R.Sookram</v>
          </cell>
        </row>
        <row r="317">
          <cell r="A317" t="str">
            <v>CA214</v>
          </cell>
          <cell r="P317">
            <v>58</v>
          </cell>
          <cell r="Q317">
            <v>3.2098765432098766</v>
          </cell>
          <cell r="T317">
            <v>0.91249999999999998</v>
          </cell>
          <cell r="U317">
            <v>1.0152777777777777</v>
          </cell>
          <cell r="V317">
            <v>57</v>
          </cell>
          <cell r="Z317">
            <v>0.24444444444444435</v>
          </cell>
          <cell r="AF317">
            <v>55.6</v>
          </cell>
          <cell r="AG317">
            <v>11.91</v>
          </cell>
          <cell r="AI317">
            <v>52.2</v>
          </cell>
          <cell r="AU317">
            <v>102.61615796495992</v>
          </cell>
          <cell r="AV317">
            <v>103.88539862964177</v>
          </cell>
          <cell r="AX317" t="str">
            <v>R.Sookram</v>
          </cell>
        </row>
        <row r="318">
          <cell r="A318" t="str">
            <v>CA215</v>
          </cell>
          <cell r="P318">
            <v>61</v>
          </cell>
          <cell r="Q318">
            <v>3.5500878734622079</v>
          </cell>
          <cell r="T318">
            <v>1.0625</v>
          </cell>
          <cell r="U318">
            <v>1.1791666666666667</v>
          </cell>
          <cell r="V318">
            <v>60</v>
          </cell>
          <cell r="Z318">
            <v>0.26944444444444449</v>
          </cell>
          <cell r="AF318">
            <v>55.6</v>
          </cell>
          <cell r="AG318">
            <v>11.95</v>
          </cell>
          <cell r="AI318">
            <v>52.4</v>
          </cell>
          <cell r="AU318">
            <v>103.66246391386404</v>
          </cell>
          <cell r="AV318">
            <v>104.94478637265901</v>
          </cell>
          <cell r="AX318" t="str">
            <v>K.Benjamin</v>
          </cell>
        </row>
        <row r="319">
          <cell r="A319" t="str">
            <v>CA216</v>
          </cell>
          <cell r="P319">
            <v>61</v>
          </cell>
          <cell r="Q319">
            <v>0.92035398230087795</v>
          </cell>
          <cell r="T319">
            <v>0.21875</v>
          </cell>
          <cell r="U319">
            <v>0.34236111111111112</v>
          </cell>
          <cell r="V319">
            <v>63</v>
          </cell>
          <cell r="Z319">
            <v>0.29722222222222222</v>
          </cell>
          <cell r="AF319">
            <v>57.2</v>
          </cell>
          <cell r="AG319">
            <v>12</v>
          </cell>
          <cell r="AI319">
            <v>54</v>
          </cell>
          <cell r="AU319">
            <v>106.95998042120141</v>
          </cell>
          <cell r="AV319">
            <v>108.2830214712919</v>
          </cell>
          <cell r="AX319" t="str">
            <v>K.Benjamin</v>
          </cell>
        </row>
        <row r="320">
          <cell r="A320" t="str">
            <v>CA217</v>
          </cell>
          <cell r="P320">
            <v>58</v>
          </cell>
          <cell r="Q320">
            <v>7.7954144620811308</v>
          </cell>
          <cell r="T320">
            <v>0.19930555555555557</v>
          </cell>
          <cell r="U320">
            <v>0.31805555555555554</v>
          </cell>
          <cell r="V320">
            <v>56</v>
          </cell>
          <cell r="Z320">
            <v>0.25555555555555554</v>
          </cell>
          <cell r="AF320">
            <v>53</v>
          </cell>
          <cell r="AG320">
            <v>11.7</v>
          </cell>
          <cell r="AI320">
            <v>49.3</v>
          </cell>
          <cell r="AU320">
            <v>94.2893537985222</v>
          </cell>
          <cell r="AV320">
            <v>95.407992749094433</v>
          </cell>
          <cell r="AX320" t="str">
            <v>R.Sookram</v>
          </cell>
        </row>
        <row r="321">
          <cell r="A321" t="str">
            <v>CA218</v>
          </cell>
          <cell r="P321">
            <v>60</v>
          </cell>
          <cell r="Q321">
            <v>5.703839122486297</v>
          </cell>
          <cell r="T321">
            <v>0.35555555555555557</v>
          </cell>
          <cell r="U321">
            <v>0.46875</v>
          </cell>
          <cell r="V321">
            <v>62</v>
          </cell>
          <cell r="Z321">
            <v>0.27430555555555558</v>
          </cell>
          <cell r="AF321">
            <v>53.6</v>
          </cell>
          <cell r="AG321">
            <v>11.9</v>
          </cell>
          <cell r="AI321">
            <v>50.4</v>
          </cell>
          <cell r="AU321">
            <v>98.710610505273081</v>
          </cell>
          <cell r="AV321">
            <v>99.931744204344213</v>
          </cell>
          <cell r="AX321" t="str">
            <v>K.Benjamin</v>
          </cell>
        </row>
        <row r="322">
          <cell r="A322" t="str">
            <v>CA219</v>
          </cell>
          <cell r="P322">
            <v>60</v>
          </cell>
          <cell r="Q322">
            <v>6.870503597122303</v>
          </cell>
          <cell r="T322">
            <v>0.46597222222222223</v>
          </cell>
          <cell r="U322">
            <v>0.5756944444444444</v>
          </cell>
          <cell r="V322">
            <v>58</v>
          </cell>
          <cell r="Z322">
            <v>0.24236111111111108</v>
          </cell>
          <cell r="AF322">
            <v>52.5</v>
          </cell>
          <cell r="AG322">
            <v>11.94</v>
          </cell>
          <cell r="AI322">
            <v>48.9</v>
          </cell>
          <cell r="AU322">
            <v>96.128929587864761</v>
          </cell>
          <cell r="AV322">
            <v>97.317930900181665</v>
          </cell>
          <cell r="AX322" t="str">
            <v>K.Benjamin</v>
          </cell>
        </row>
        <row r="323">
          <cell r="A323" t="str">
            <v>CA220</v>
          </cell>
          <cell r="P323">
            <v>61</v>
          </cell>
          <cell r="Q323">
            <v>5.2898550724637703</v>
          </cell>
          <cell r="T323">
            <v>0.61597222222222225</v>
          </cell>
          <cell r="U323">
            <v>0.72499999999999998</v>
          </cell>
          <cell r="V323">
            <v>60</v>
          </cell>
          <cell r="Z323">
            <v>0.26666666666666666</v>
          </cell>
          <cell r="AF323">
            <v>53</v>
          </cell>
          <cell r="AG323">
            <v>11.94</v>
          </cell>
          <cell r="AI323">
            <v>49.7</v>
          </cell>
          <cell r="AU323">
            <v>97.94439772053714</v>
          </cell>
          <cell r="AV323">
            <v>99.155721080550038</v>
          </cell>
          <cell r="AX323" t="str">
            <v>K.Benjamin</v>
          </cell>
        </row>
        <row r="324">
          <cell r="A324" t="str">
            <v>CA221</v>
          </cell>
          <cell r="P324">
            <v>60</v>
          </cell>
          <cell r="Q324">
            <v>14.067495559502655</v>
          </cell>
          <cell r="T324">
            <v>0.89861111111111114</v>
          </cell>
          <cell r="U324">
            <v>1.0291666666666666</v>
          </cell>
          <cell r="V324">
            <v>76</v>
          </cell>
          <cell r="Z324">
            <v>0.26527777777777772</v>
          </cell>
          <cell r="AF324">
            <v>49.1</v>
          </cell>
          <cell r="AG324">
            <v>11.92</v>
          </cell>
          <cell r="AI324">
            <v>48.1</v>
          </cell>
          <cell r="AU324">
            <v>97.705041554039269</v>
          </cell>
          <cell r="AV324">
            <v>98.911757759377934</v>
          </cell>
          <cell r="AX324" t="str">
            <v>R.Regis</v>
          </cell>
        </row>
        <row r="325">
          <cell r="A325" t="str">
            <v>CA222</v>
          </cell>
          <cell r="P325">
            <v>56</v>
          </cell>
          <cell r="Q325">
            <v>5.6624319419237699</v>
          </cell>
          <cell r="T325">
            <v>1.0326388888888889</v>
          </cell>
          <cell r="U325">
            <v>1.1513888888888888</v>
          </cell>
          <cell r="V325">
            <v>63</v>
          </cell>
          <cell r="Z325">
            <v>0.25555555555555542</v>
          </cell>
          <cell r="AF325">
            <v>54.5</v>
          </cell>
          <cell r="AG325">
            <v>11.9</v>
          </cell>
          <cell r="AI325">
            <v>49.9</v>
          </cell>
          <cell r="AU325">
            <v>97.474306422859613</v>
          </cell>
          <cell r="AV325">
            <v>98.818390651663634</v>
          </cell>
          <cell r="AX325" t="str">
            <v>R.Sookram</v>
          </cell>
        </row>
        <row r="326">
          <cell r="A326" t="str">
            <v>CA223</v>
          </cell>
          <cell r="P326">
            <v>57</v>
          </cell>
          <cell r="Q326">
            <v>6.6547406082289786</v>
          </cell>
          <cell r="T326">
            <v>1.1708333333333334</v>
          </cell>
          <cell r="U326">
            <v>1.2756944444444445</v>
          </cell>
          <cell r="V326">
            <v>60</v>
          </cell>
          <cell r="Z326">
            <v>0.2548611111111112</v>
          </cell>
          <cell r="AF326">
            <v>53.3</v>
          </cell>
          <cell r="AG326">
            <v>12</v>
          </cell>
          <cell r="AI326">
            <v>49.7</v>
          </cell>
          <cell r="AU326">
            <v>97.820735625935143</v>
          </cell>
          <cell r="AV326">
            <v>99.169669914295739</v>
          </cell>
          <cell r="AX326" t="str">
            <v>R.Sookram</v>
          </cell>
        </row>
        <row r="327">
          <cell r="A327" t="str">
            <v>CA224</v>
          </cell>
          <cell r="P327">
            <v>58</v>
          </cell>
          <cell r="Q327">
            <v>7.5222816399286963</v>
          </cell>
          <cell r="T327">
            <v>0.28333333333333333</v>
          </cell>
          <cell r="U327">
            <v>0.39583333333333331</v>
          </cell>
          <cell r="V327">
            <v>63</v>
          </cell>
          <cell r="Z327">
            <v>0.24999999999999997</v>
          </cell>
          <cell r="AF327">
            <v>53.5</v>
          </cell>
          <cell r="AG327">
            <v>11.9</v>
          </cell>
          <cell r="AI327">
            <v>50.2</v>
          </cell>
          <cell r="AU327">
            <v>98.296844040938197</v>
          </cell>
          <cell r="AV327">
            <v>99.655584788328127</v>
          </cell>
          <cell r="AX327" t="str">
            <v>K.Benjamin</v>
          </cell>
        </row>
        <row r="328">
          <cell r="A328" t="str">
            <v>CA225</v>
          </cell>
          <cell r="P328">
            <v>62</v>
          </cell>
          <cell r="Q328">
            <v>6.4758497316636809</v>
          </cell>
          <cell r="T328">
            <v>0.41180555555555554</v>
          </cell>
          <cell r="U328">
            <v>0.52500000000000002</v>
          </cell>
          <cell r="V328">
            <v>68</v>
          </cell>
          <cell r="Z328">
            <v>0.25416666666666671</v>
          </cell>
          <cell r="AF328">
            <v>53</v>
          </cell>
          <cell r="AG328">
            <v>11.9</v>
          </cell>
          <cell r="AI328">
            <v>49.5</v>
          </cell>
          <cell r="AU328">
            <v>97.046163433641169</v>
          </cell>
          <cell r="AV328">
            <v>98.387547395729385</v>
          </cell>
          <cell r="AX328" t="str">
            <v>K.Benjamin</v>
          </cell>
        </row>
        <row r="329">
          <cell r="A329" t="str">
            <v>CA226</v>
          </cell>
          <cell r="P329">
            <v>61</v>
          </cell>
          <cell r="Q329">
            <v>4.9186256781193469</v>
          </cell>
          <cell r="T329">
            <v>0.53055555555555556</v>
          </cell>
          <cell r="U329">
            <v>0.64930555555555558</v>
          </cell>
          <cell r="V329">
            <v>70</v>
          </cell>
          <cell r="Z329">
            <v>0.25347222222222227</v>
          </cell>
          <cell r="AF329">
            <v>53.3</v>
          </cell>
          <cell r="AG329">
            <v>11.9</v>
          </cell>
          <cell r="AI329">
            <v>50.1</v>
          </cell>
          <cell r="AU329">
            <v>98.107009642147446</v>
          </cell>
          <cell r="AV329">
            <v>99.459671099355447</v>
          </cell>
          <cell r="AX329" t="str">
            <v>K.Benjamin</v>
          </cell>
        </row>
        <row r="330">
          <cell r="A330" t="str">
            <v>CA227</v>
          </cell>
          <cell r="P330">
            <v>60</v>
          </cell>
          <cell r="Q330">
            <v>6.2068965517241406</v>
          </cell>
          <cell r="T330">
            <v>0.68333333333333335</v>
          </cell>
          <cell r="U330">
            <v>0.79513888888888884</v>
          </cell>
          <cell r="V330">
            <v>63</v>
          </cell>
          <cell r="Z330">
            <v>0.27430555555555547</v>
          </cell>
          <cell r="AF330">
            <v>53.7</v>
          </cell>
          <cell r="AG330">
            <v>11.8</v>
          </cell>
          <cell r="AI330">
            <v>50.4</v>
          </cell>
          <cell r="AU330">
            <v>97.822477372642041</v>
          </cell>
          <cell r="AV330">
            <v>99.17121580910262</v>
          </cell>
          <cell r="AX330" t="str">
            <v>R. Regis</v>
          </cell>
        </row>
        <row r="331">
          <cell r="A331" t="str">
            <v>CA228</v>
          </cell>
          <cell r="P331">
            <v>60</v>
          </cell>
          <cell r="Q331">
            <v>5.5516014234875524</v>
          </cell>
          <cell r="T331">
            <v>0.78541666666666665</v>
          </cell>
          <cell r="U331">
            <v>0.90625</v>
          </cell>
          <cell r="V331">
            <v>65</v>
          </cell>
          <cell r="Z331">
            <v>0.26041666666666663</v>
          </cell>
          <cell r="AF331">
            <v>53.8</v>
          </cell>
          <cell r="AG331">
            <v>11.6</v>
          </cell>
          <cell r="AI331">
            <v>50.8</v>
          </cell>
          <cell r="AU331">
            <v>96.841006194248607</v>
          </cell>
          <cell r="AV331">
            <v>98.176212486174222</v>
          </cell>
          <cell r="AX331" t="str">
            <v>R. Regis</v>
          </cell>
        </row>
        <row r="332">
          <cell r="A332" t="str">
            <v>CA229</v>
          </cell>
          <cell r="P332">
            <v>62</v>
          </cell>
          <cell r="Q332">
            <v>5.3832442067736244</v>
          </cell>
          <cell r="T332">
            <v>0.59791666666666665</v>
          </cell>
          <cell r="U332">
            <v>0.71736111111111112</v>
          </cell>
          <cell r="V332">
            <v>59</v>
          </cell>
          <cell r="Z332">
            <v>0.2590277777777778</v>
          </cell>
          <cell r="AF332">
            <v>53.8</v>
          </cell>
          <cell r="AG332">
            <v>11.7</v>
          </cell>
          <cell r="AI332">
            <v>49.4</v>
          </cell>
          <cell r="AU332">
            <v>94.353846621380328</v>
          </cell>
          <cell r="AV332">
            <v>95.601518089356304</v>
          </cell>
          <cell r="AX332" t="str">
            <v>R. Regis</v>
          </cell>
        </row>
        <row r="333">
          <cell r="A333" t="str">
            <v>CA230</v>
          </cell>
          <cell r="P333">
            <v>60</v>
          </cell>
          <cell r="Q333">
            <v>4.9823321554770326</v>
          </cell>
          <cell r="T333">
            <v>0.72986111111111107</v>
          </cell>
          <cell r="U333">
            <v>0.84027777777777779</v>
          </cell>
          <cell r="V333">
            <v>59</v>
          </cell>
          <cell r="Z333">
            <v>0.24652777777777779</v>
          </cell>
          <cell r="AF333">
            <v>54.5</v>
          </cell>
          <cell r="AG333">
            <v>11.9</v>
          </cell>
          <cell r="AI333">
            <v>51</v>
          </cell>
          <cell r="AU333">
            <v>99.52869748499829</v>
          </cell>
          <cell r="AV333">
            <v>100.84436664992124</v>
          </cell>
          <cell r="AX333" t="str">
            <v>R. Regis</v>
          </cell>
        </row>
        <row r="334">
          <cell r="A334" t="str">
            <v>CA231</v>
          </cell>
          <cell r="P334">
            <v>61</v>
          </cell>
          <cell r="Q334">
            <v>4.1428571428571432</v>
          </cell>
          <cell r="T334">
            <v>0.85069444444444442</v>
          </cell>
          <cell r="U334">
            <v>0.96250000000000002</v>
          </cell>
          <cell r="V334">
            <v>61</v>
          </cell>
          <cell r="Z334">
            <v>0.24375000000000002</v>
          </cell>
          <cell r="AF334">
            <v>54.4</v>
          </cell>
          <cell r="AG334">
            <v>11.8</v>
          </cell>
          <cell r="AI334">
            <v>51</v>
          </cell>
          <cell r="AU334">
            <v>98.285972690602023</v>
          </cell>
          <cell r="AV334">
            <v>99.58563993491066</v>
          </cell>
          <cell r="AX334" t="str">
            <v>R. Regis</v>
          </cell>
        </row>
        <row r="335">
          <cell r="A335" t="str">
            <v>CA232</v>
          </cell>
          <cell r="P335">
            <v>58</v>
          </cell>
          <cell r="T335">
            <v>0.98263888888888884</v>
          </cell>
          <cell r="U335">
            <v>1.0868055555555556</v>
          </cell>
          <cell r="V335">
            <v>61</v>
          </cell>
          <cell r="Z335">
            <v>0.24305555555555558</v>
          </cell>
          <cell r="AF335">
            <v>55</v>
          </cell>
          <cell r="AG335">
            <v>12</v>
          </cell>
          <cell r="AI335">
            <v>51.3</v>
          </cell>
          <cell r="AU335">
            <v>101.59569981419895</v>
          </cell>
          <cell r="AV335">
            <v>102.99630880339723</v>
          </cell>
          <cell r="AX335" t="str">
            <v>R.Sookram</v>
          </cell>
        </row>
        <row r="336">
          <cell r="A336" t="str">
            <v>CA233</v>
          </cell>
          <cell r="P336">
            <v>57</v>
          </cell>
          <cell r="Q336">
            <v>2.882562277580079</v>
          </cell>
          <cell r="T336">
            <v>1.1111111111111112</v>
          </cell>
          <cell r="U336">
            <v>1.2277777777777779</v>
          </cell>
          <cell r="V336">
            <v>59</v>
          </cell>
          <cell r="Z336">
            <v>0.25902777777777786</v>
          </cell>
          <cell r="AF336">
            <v>55.3</v>
          </cell>
          <cell r="AG336">
            <v>12</v>
          </cell>
          <cell r="AI336">
            <v>50.8</v>
          </cell>
          <cell r="AU336">
            <v>100.35668628710914</v>
          </cell>
          <cell r="AV336">
            <v>101.7403654147152</v>
          </cell>
          <cell r="AX336" t="str">
            <v>R.Sookram</v>
          </cell>
        </row>
        <row r="337">
          <cell r="A337" t="str">
            <v>CA234</v>
          </cell>
          <cell r="P337">
            <v>56</v>
          </cell>
          <cell r="Q337">
            <v>6.2081128747795464</v>
          </cell>
          <cell r="T337">
            <v>0.26805555555555555</v>
          </cell>
          <cell r="U337">
            <v>0.38819444444444445</v>
          </cell>
          <cell r="V337">
            <v>59</v>
          </cell>
          <cell r="Z337">
            <v>0.26666666666666666</v>
          </cell>
          <cell r="AF337">
            <v>53.9</v>
          </cell>
          <cell r="AG337">
            <v>11.9</v>
          </cell>
          <cell r="AI337">
            <v>51.1</v>
          </cell>
          <cell r="AU337">
            <v>100.31331285198578</v>
          </cell>
          <cell r="AV337">
            <v>101.69624271982174</v>
          </cell>
          <cell r="AX337" t="str">
            <v>R.Sookram</v>
          </cell>
        </row>
        <row r="338">
          <cell r="A338" t="str">
            <v>CA235</v>
          </cell>
          <cell r="P338">
            <v>61</v>
          </cell>
          <cell r="Q338">
            <v>5.4640980735551619</v>
          </cell>
          <cell r="T338">
            <v>0.38819444444444445</v>
          </cell>
          <cell r="U338">
            <v>0.53194444444444444</v>
          </cell>
          <cell r="V338">
            <v>75</v>
          </cell>
          <cell r="Z338">
            <v>0.28541666666666665</v>
          </cell>
          <cell r="AF338">
            <v>54.7</v>
          </cell>
          <cell r="AG338">
            <v>11.8</v>
          </cell>
          <cell r="AI338">
            <v>51.2</v>
          </cell>
          <cell r="AU338">
            <v>99.745226951365936</v>
          </cell>
          <cell r="AV338">
            <v>101.12024965393238</v>
          </cell>
          <cell r="AX338" t="str">
            <v>R.Sookram</v>
          </cell>
        </row>
        <row r="339">
          <cell r="A339" t="str">
            <v>CA236</v>
          </cell>
          <cell r="P339">
            <v>60</v>
          </cell>
          <cell r="Q339">
            <v>3.7588652482269462</v>
          </cell>
          <cell r="T339">
            <v>0.57499999999999996</v>
          </cell>
          <cell r="U339">
            <v>0.69097222222222221</v>
          </cell>
          <cell r="V339">
            <v>56</v>
          </cell>
          <cell r="Z339">
            <v>0.25694444444444442</v>
          </cell>
          <cell r="AF339">
            <v>54.1</v>
          </cell>
          <cell r="AG339">
            <v>11.61</v>
          </cell>
          <cell r="AI339">
            <v>51.6</v>
          </cell>
          <cell r="AU339">
            <v>98.609928325637725</v>
          </cell>
          <cell r="AV339">
            <v>99.969375155470814</v>
          </cell>
          <cell r="AX339" t="str">
            <v>K.Benjamin</v>
          </cell>
        </row>
      </sheetData>
      <sheetData sheetId="6">
        <row r="209">
          <cell r="C209" t="str">
            <v>DPV</v>
          </cell>
          <cell r="D209">
            <v>12.06</v>
          </cell>
        </row>
        <row r="210">
          <cell r="D210">
            <v>11.9</v>
          </cell>
        </row>
        <row r="211">
          <cell r="D211">
            <v>11.8</v>
          </cell>
        </row>
        <row r="212">
          <cell r="D212">
            <v>11.7</v>
          </cell>
        </row>
        <row r="213">
          <cell r="D213">
            <v>11.89</v>
          </cell>
        </row>
        <row r="214">
          <cell r="D214">
            <v>11.76</v>
          </cell>
        </row>
        <row r="215">
          <cell r="D215">
            <v>11.87</v>
          </cell>
        </row>
        <row r="216">
          <cell r="D216">
            <v>11.94</v>
          </cell>
        </row>
        <row r="217">
          <cell r="D217">
            <v>11.8</v>
          </cell>
        </row>
        <row r="218">
          <cell r="D218">
            <v>11.8</v>
          </cell>
        </row>
        <row r="219">
          <cell r="D219">
            <v>11.8</v>
          </cell>
        </row>
        <row r="220">
          <cell r="D220">
            <v>11.8</v>
          </cell>
        </row>
        <row r="221">
          <cell r="D221">
            <v>11.8</v>
          </cell>
        </row>
        <row r="222">
          <cell r="D222">
            <v>11.8</v>
          </cell>
        </row>
        <row r="223">
          <cell r="D223">
            <v>11.6</v>
          </cell>
        </row>
        <row r="224">
          <cell r="D224">
            <v>11.8</v>
          </cell>
        </row>
        <row r="225">
          <cell r="D225">
            <v>12.2</v>
          </cell>
        </row>
        <row r="226">
          <cell r="D226">
            <v>12</v>
          </cell>
        </row>
        <row r="227">
          <cell r="D227">
            <v>12</v>
          </cell>
        </row>
        <row r="228">
          <cell r="D228">
            <v>11.8</v>
          </cell>
        </row>
        <row r="229">
          <cell r="D229">
            <v>11.8</v>
          </cell>
        </row>
        <row r="230">
          <cell r="D230">
            <v>11.9</v>
          </cell>
        </row>
        <row r="231">
          <cell r="D231">
            <v>11.9</v>
          </cell>
        </row>
        <row r="232">
          <cell r="D232">
            <v>11.7</v>
          </cell>
        </row>
        <row r="233">
          <cell r="D233">
            <v>12</v>
          </cell>
        </row>
        <row r="234">
          <cell r="D234">
            <v>11.7</v>
          </cell>
        </row>
        <row r="235">
          <cell r="D235">
            <v>11.9</v>
          </cell>
        </row>
        <row r="236">
          <cell r="D236">
            <v>11.7</v>
          </cell>
        </row>
        <row r="237">
          <cell r="D237">
            <v>11.7</v>
          </cell>
        </row>
        <row r="238">
          <cell r="D238">
            <v>11.6</v>
          </cell>
        </row>
        <row r="239">
          <cell r="D239">
            <v>11.8</v>
          </cell>
        </row>
        <row r="240">
          <cell r="D240">
            <v>11.69</v>
          </cell>
        </row>
        <row r="241">
          <cell r="D241">
            <v>11.65</v>
          </cell>
        </row>
        <row r="242">
          <cell r="D242">
            <v>11.9</v>
          </cell>
        </row>
        <row r="243">
          <cell r="D243">
            <v>11.8</v>
          </cell>
        </row>
        <row r="244">
          <cell r="D244">
            <v>11.8</v>
          </cell>
        </row>
        <row r="245">
          <cell r="D245">
            <v>11.7</v>
          </cell>
        </row>
        <row r="246">
          <cell r="D246">
            <v>11.8</v>
          </cell>
        </row>
        <row r="247">
          <cell r="D247">
            <v>11.64</v>
          </cell>
        </row>
        <row r="248">
          <cell r="D248">
            <v>11.75</v>
          </cell>
        </row>
        <row r="249">
          <cell r="D249">
            <v>11.9</v>
          </cell>
        </row>
        <row r="250">
          <cell r="D250">
            <v>11.7</v>
          </cell>
        </row>
        <row r="251">
          <cell r="D251">
            <v>11.78</v>
          </cell>
        </row>
        <row r="252">
          <cell r="D252">
            <v>11.8</v>
          </cell>
        </row>
        <row r="253">
          <cell r="D253">
            <v>11.8</v>
          </cell>
        </row>
        <row r="255">
          <cell r="D255">
            <v>11.9</v>
          </cell>
        </row>
        <row r="256">
          <cell r="D256">
            <v>11.8</v>
          </cell>
        </row>
        <row r="257">
          <cell r="D257">
            <v>11.9</v>
          </cell>
        </row>
        <row r="258">
          <cell r="D258">
            <v>12.06</v>
          </cell>
        </row>
        <row r="259">
          <cell r="D259">
            <v>12</v>
          </cell>
        </row>
        <row r="260">
          <cell r="D260">
            <v>11.8</v>
          </cell>
        </row>
        <row r="261">
          <cell r="D261">
            <v>11.76</v>
          </cell>
        </row>
        <row r="262">
          <cell r="D262">
            <v>12.2</v>
          </cell>
        </row>
        <row r="263">
          <cell r="D263">
            <v>12</v>
          </cell>
        </row>
        <row r="264">
          <cell r="D264">
            <v>11.7</v>
          </cell>
        </row>
        <row r="265">
          <cell r="D265">
            <v>11.7</v>
          </cell>
        </row>
        <row r="266">
          <cell r="D266">
            <v>12.6</v>
          </cell>
        </row>
        <row r="267">
          <cell r="D267">
            <v>11.62</v>
          </cell>
        </row>
        <row r="268">
          <cell r="D268">
            <v>12.3</v>
          </cell>
        </row>
        <row r="269">
          <cell r="D269">
            <v>11.93</v>
          </cell>
        </row>
        <row r="282">
          <cell r="D282">
            <v>11.98</v>
          </cell>
        </row>
        <row r="283">
          <cell r="D283">
            <v>11.78</v>
          </cell>
        </row>
        <row r="284">
          <cell r="D284">
            <v>11.7</v>
          </cell>
        </row>
        <row r="285">
          <cell r="D285">
            <v>11.5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March '25"/>
      <sheetName val="Summary February '25"/>
      <sheetName val="Summary January '25"/>
      <sheetName val="Summary December '24  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105" t="str">
            <v>ST089</v>
          </cell>
          <cell r="P105">
            <v>61</v>
          </cell>
          <cell r="Q105">
            <v>6.6298342541436366</v>
          </cell>
          <cell r="T105">
            <v>1.0923611111111111</v>
          </cell>
          <cell r="U105">
            <v>1.2090277777777778</v>
          </cell>
          <cell r="V105">
            <v>63</v>
          </cell>
          <cell r="AD105">
            <v>51.6</v>
          </cell>
          <cell r="AE105">
            <v>11.85</v>
          </cell>
          <cell r="AG105">
            <v>48.2</v>
          </cell>
          <cell r="AS105">
            <v>96.818003369761513</v>
          </cell>
          <cell r="AT105">
            <v>96.17844811652823</v>
          </cell>
          <cell r="AV105" t="str">
            <v>R.Sookram</v>
          </cell>
          <cell r="AW105">
            <v>0.26111111111111118</v>
          </cell>
        </row>
        <row r="106">
          <cell r="A106" t="str">
            <v>ST090</v>
          </cell>
          <cell r="P106">
            <v>62</v>
          </cell>
          <cell r="Q106">
            <v>7.4275362318840603</v>
          </cell>
          <cell r="T106">
            <v>1.1875</v>
          </cell>
          <cell r="U106">
            <v>1.2958333333333334</v>
          </cell>
          <cell r="V106">
            <v>58</v>
          </cell>
          <cell r="AD106">
            <v>52.4</v>
          </cell>
          <cell r="AE106">
            <v>11.74</v>
          </cell>
          <cell r="AG106">
            <v>48.9</v>
          </cell>
          <cell r="AS106">
            <v>96.728268188487093</v>
          </cell>
          <cell r="AT106">
            <v>96.089719278755197</v>
          </cell>
          <cell r="AV106" t="str">
            <v>R.Sookram</v>
          </cell>
          <cell r="AW106">
            <v>0.26111111111111107</v>
          </cell>
        </row>
        <row r="107">
          <cell r="A107" t="str">
            <v>ST091</v>
          </cell>
          <cell r="P107">
            <v>60</v>
          </cell>
          <cell r="Q107">
            <v>7.4626865671641784</v>
          </cell>
          <cell r="T107">
            <v>0.30486111111111114</v>
          </cell>
          <cell r="U107">
            <v>0.42638888888888887</v>
          </cell>
          <cell r="V107">
            <v>57</v>
          </cell>
          <cell r="AD107">
            <v>50.5</v>
          </cell>
          <cell r="AE107">
            <v>11.9</v>
          </cell>
          <cell r="AG107">
            <v>47.1</v>
          </cell>
          <cell r="AS107">
            <v>94.725921358787076</v>
          </cell>
          <cell r="AT107">
            <v>94.100388125687857</v>
          </cell>
          <cell r="AV107" t="str">
            <v>R.Sookram</v>
          </cell>
          <cell r="AW107">
            <v>0.30138888888888887</v>
          </cell>
        </row>
        <row r="108">
          <cell r="A108" t="str">
            <v>ST092</v>
          </cell>
          <cell r="P108">
            <v>59</v>
          </cell>
          <cell r="Q108">
            <v>4.8598130841121527</v>
          </cell>
          <cell r="T108">
            <v>0.40277777777777779</v>
          </cell>
          <cell r="U108">
            <v>0.52083333333333337</v>
          </cell>
          <cell r="V108">
            <v>68</v>
          </cell>
          <cell r="AD108">
            <v>52.2</v>
          </cell>
          <cell r="AE108">
            <v>11.7</v>
          </cell>
          <cell r="AG108">
            <v>48.9</v>
          </cell>
          <cell r="AS108">
            <v>96.728268188487093</v>
          </cell>
          <cell r="AT108">
            <v>96.089719278755197</v>
          </cell>
          <cell r="AV108" t="str">
            <v>K. Benjamin</v>
          </cell>
          <cell r="AW108">
            <v>0.27083333333333337</v>
          </cell>
        </row>
        <row r="109">
          <cell r="A109" t="str">
            <v>ST093</v>
          </cell>
          <cell r="P109">
            <v>60</v>
          </cell>
          <cell r="Q109">
            <v>3.8181818181818206</v>
          </cell>
          <cell r="T109">
            <v>0.58472222222222225</v>
          </cell>
          <cell r="U109">
            <v>0.7104166666666667</v>
          </cell>
          <cell r="V109">
            <v>76</v>
          </cell>
          <cell r="AD109">
            <v>53.8</v>
          </cell>
          <cell r="AE109">
            <v>11.6</v>
          </cell>
          <cell r="AG109">
            <v>50.9</v>
          </cell>
          <cell r="AS109">
            <v>98.026213210604823</v>
          </cell>
          <cell r="AT109">
            <v>99.367631242337296</v>
          </cell>
          <cell r="AV109" t="str">
            <v>K. Benjamin</v>
          </cell>
          <cell r="AW109">
            <v>0.26944444444444449</v>
          </cell>
        </row>
        <row r="110">
          <cell r="A110" t="str">
            <v>ST094</v>
          </cell>
          <cell r="P110">
            <v>60</v>
          </cell>
          <cell r="Q110">
            <v>3.9999999999999925</v>
          </cell>
          <cell r="T110">
            <v>0.69374999999999998</v>
          </cell>
          <cell r="U110">
            <v>0.82013888888888886</v>
          </cell>
          <cell r="V110">
            <v>79</v>
          </cell>
          <cell r="AD110">
            <v>53.7</v>
          </cell>
          <cell r="AE110">
            <v>11.8</v>
          </cell>
          <cell r="AG110">
            <v>50.5</v>
          </cell>
          <cell r="AS110">
            <v>98.897348757551114</v>
          </cell>
          <cell r="AT110">
            <v>100.2511289412559</v>
          </cell>
          <cell r="AV110" t="str">
            <v>R. Regis</v>
          </cell>
          <cell r="AW110">
            <v>0.26805555555555549</v>
          </cell>
        </row>
        <row r="111">
          <cell r="A111" t="str">
            <v>ST095</v>
          </cell>
          <cell r="P111">
            <v>57</v>
          </cell>
          <cell r="Q111">
            <v>0.75329566854990315</v>
          </cell>
          <cell r="T111">
            <v>0.43958333333333333</v>
          </cell>
          <cell r="U111">
            <v>0.55625000000000002</v>
          </cell>
          <cell r="V111">
            <v>61</v>
          </cell>
          <cell r="AD111">
            <v>54.9</v>
          </cell>
          <cell r="AE111">
            <v>12</v>
          </cell>
          <cell r="AG111">
            <v>49.9</v>
          </cell>
          <cell r="AS111">
            <v>98.846181723282257</v>
          </cell>
          <cell r="AT111">
            <v>100.20145040969555</v>
          </cell>
          <cell r="AV111" t="str">
            <v>R.Sookram</v>
          </cell>
          <cell r="AW111">
            <v>0.26111111111111113</v>
          </cell>
        </row>
        <row r="112">
          <cell r="A112" t="str">
            <v>ST096</v>
          </cell>
          <cell r="P112">
            <v>60</v>
          </cell>
          <cell r="Q112">
            <v>6.2615101289134421</v>
          </cell>
          <cell r="T112">
            <v>0.56180555555555556</v>
          </cell>
          <cell r="U112">
            <v>0.68402777777777779</v>
          </cell>
          <cell r="V112">
            <v>67</v>
          </cell>
          <cell r="AD112">
            <v>53.9</v>
          </cell>
          <cell r="AE112">
            <v>11.9</v>
          </cell>
          <cell r="AG112">
            <v>50.5</v>
          </cell>
          <cell r="AS112">
            <v>99.65424616729544</v>
          </cell>
          <cell r="AT112">
            <v>101.01883088375219</v>
          </cell>
          <cell r="AV112" t="str">
            <v>R.Sookram</v>
          </cell>
          <cell r="AW112">
            <v>0.29930555555555555</v>
          </cell>
        </row>
        <row r="113">
          <cell r="A113" t="str">
            <v>ST097</v>
          </cell>
          <cell r="P113">
            <v>62</v>
          </cell>
          <cell r="Q113">
            <v>9.3639575971731386</v>
          </cell>
          <cell r="T113">
            <v>0.82708333333333339</v>
          </cell>
          <cell r="U113">
            <v>0.94444444444444453</v>
          </cell>
          <cell r="V113">
            <v>54</v>
          </cell>
          <cell r="AD113">
            <v>54.3</v>
          </cell>
          <cell r="AE113">
            <v>12</v>
          </cell>
          <cell r="AG113">
            <v>49.7</v>
          </cell>
          <cell r="AS113">
            <v>99.065888617269223</v>
          </cell>
          <cell r="AT113">
            <v>100.42197589944648</v>
          </cell>
          <cell r="AV113" t="str">
            <v>K. Benjamin</v>
          </cell>
          <cell r="AW113">
            <v>0.2777777777777779</v>
          </cell>
        </row>
        <row r="114">
          <cell r="A114" t="str">
            <v>ST098</v>
          </cell>
          <cell r="P114">
            <v>59</v>
          </cell>
          <cell r="Q114">
            <v>3.5447761194029823</v>
          </cell>
          <cell r="T114">
            <v>0.91666666666666663</v>
          </cell>
          <cell r="U114">
            <v>1.0270833333333333</v>
          </cell>
          <cell r="V114">
            <v>55</v>
          </cell>
          <cell r="AD114">
            <v>54.4</v>
          </cell>
          <cell r="AE114">
            <v>11.86</v>
          </cell>
          <cell r="AG114">
            <v>50.6</v>
          </cell>
          <cell r="AS114">
            <v>99.602654863491452</v>
          </cell>
          <cell r="AT114">
            <v>100.96741648747569</v>
          </cell>
          <cell r="AV114" t="str">
            <v>K. Benjamin</v>
          </cell>
          <cell r="AW114">
            <v>0.24930555555555556</v>
          </cell>
        </row>
        <row r="115">
          <cell r="A115" t="str">
            <v>ST099</v>
          </cell>
          <cell r="P115">
            <v>60</v>
          </cell>
          <cell r="Q115">
            <v>5.9566787003610058</v>
          </cell>
          <cell r="T115">
            <v>1.0138888888888888</v>
          </cell>
          <cell r="U115">
            <v>1.1201388888888888</v>
          </cell>
          <cell r="V115">
            <v>58</v>
          </cell>
          <cell r="AD115">
            <v>54.3</v>
          </cell>
          <cell r="AE115">
            <v>11.75</v>
          </cell>
          <cell r="AG115">
            <v>50.7</v>
          </cell>
          <cell r="AS115">
            <v>99.164950119073353</v>
          </cell>
          <cell r="AT115">
            <v>100.52283481084572</v>
          </cell>
          <cell r="AV115" t="str">
            <v>R. Regis</v>
          </cell>
          <cell r="AW115">
            <v>0.2451388888888888</v>
          </cell>
        </row>
        <row r="116">
          <cell r="A116" t="str">
            <v>ST100</v>
          </cell>
          <cell r="P116">
            <v>60</v>
          </cell>
          <cell r="Q116">
            <v>6.4102564102564097</v>
          </cell>
          <cell r="T116">
            <v>1.1215277777777779</v>
          </cell>
          <cell r="U116">
            <v>1.2340277777777777</v>
          </cell>
          <cell r="V116">
            <v>61</v>
          </cell>
          <cell r="AD116">
            <v>53.7</v>
          </cell>
          <cell r="AE116">
            <v>11.71</v>
          </cell>
          <cell r="AG116">
            <v>50.3</v>
          </cell>
          <cell r="AS116">
            <v>97.38390073907243</v>
          </cell>
          <cell r="AT116">
            <v>98.717829556683242</v>
          </cell>
          <cell r="AV116" t="str">
            <v>R. Regis</v>
          </cell>
          <cell r="AW116">
            <v>0.25486111111111109</v>
          </cell>
        </row>
        <row r="117">
          <cell r="A117" t="str">
            <v>ST101</v>
          </cell>
          <cell r="P117">
            <v>59</v>
          </cell>
          <cell r="Q117">
            <v>5.6776556776556806</v>
          </cell>
          <cell r="T117">
            <v>0.22291666666666665</v>
          </cell>
          <cell r="U117">
            <v>0.33819444444444446</v>
          </cell>
          <cell r="V117">
            <v>61</v>
          </cell>
          <cell r="AD117">
            <v>54.1</v>
          </cell>
          <cell r="AE117">
            <v>11.71</v>
          </cell>
          <cell r="AG117">
            <v>50.7</v>
          </cell>
          <cell r="AS117">
            <v>97.938471627804731</v>
          </cell>
          <cell r="AT117">
            <v>99.255979936641211</v>
          </cell>
          <cell r="AV117" t="str">
            <v>R. Regis</v>
          </cell>
          <cell r="AW117">
            <v>0.25486111111111115</v>
          </cell>
        </row>
        <row r="118">
          <cell r="A118" t="str">
            <v>ST102</v>
          </cell>
          <cell r="P118">
            <v>57</v>
          </cell>
          <cell r="Q118">
            <v>4.3956043956043933</v>
          </cell>
          <cell r="T118">
            <v>0.33055555555555555</v>
          </cell>
          <cell r="U118">
            <v>0.44097222222222227</v>
          </cell>
          <cell r="V118">
            <v>65</v>
          </cell>
          <cell r="AD118">
            <v>55.8</v>
          </cell>
          <cell r="AE118">
            <v>11.77</v>
          </cell>
          <cell r="AG118">
            <v>52.4</v>
          </cell>
          <cell r="AS118">
            <v>102.00584482183068</v>
          </cell>
          <cell r="AT118">
            <v>103.37851029784997</v>
          </cell>
          <cell r="AV118" t="str">
            <v>R.Sookram</v>
          </cell>
          <cell r="AW118">
            <v>0.25347222222222227</v>
          </cell>
        </row>
        <row r="119">
          <cell r="A119" t="str">
            <v>ST103</v>
          </cell>
          <cell r="P119">
            <v>57</v>
          </cell>
          <cell r="Q119">
            <v>3.6496350364963375</v>
          </cell>
          <cell r="T119">
            <v>0.4284722222222222</v>
          </cell>
          <cell r="U119">
            <v>0.54166666666666663</v>
          </cell>
          <cell r="V119">
            <v>68</v>
          </cell>
          <cell r="AD119">
            <v>55.1</v>
          </cell>
          <cell r="AE119">
            <v>11.8</v>
          </cell>
          <cell r="AG119">
            <v>47.9</v>
          </cell>
          <cell r="AS119">
            <v>93.711849834287406</v>
          </cell>
          <cell r="AT119">
            <v>94.971277858767451</v>
          </cell>
          <cell r="AV119" t="str">
            <v>R.Sookram</v>
          </cell>
          <cell r="AW119">
            <v>0.24999999999999994</v>
          </cell>
        </row>
        <row r="120">
          <cell r="A120" t="str">
            <v>ST104</v>
          </cell>
          <cell r="P120">
            <v>57</v>
          </cell>
          <cell r="Q120">
            <v>3.1078610603290726</v>
          </cell>
          <cell r="T120">
            <v>0.53333333333333333</v>
          </cell>
          <cell r="U120">
            <v>0.64861111111111114</v>
          </cell>
          <cell r="V120">
            <v>72</v>
          </cell>
          <cell r="AD120">
            <v>55.6</v>
          </cell>
          <cell r="AE120">
            <v>12</v>
          </cell>
          <cell r="AG120">
            <v>52.5</v>
          </cell>
          <cell r="AS120">
            <v>104.41201107512165</v>
          </cell>
          <cell r="AT120">
            <v>105.81569749073331</v>
          </cell>
          <cell r="AV120" t="str">
            <v>R.Sookram</v>
          </cell>
          <cell r="AW120">
            <v>0.25208333333333333</v>
          </cell>
        </row>
        <row r="121">
          <cell r="A121" t="str">
            <v>ST105</v>
          </cell>
          <cell r="P121">
            <v>55</v>
          </cell>
          <cell r="Q121">
            <v>6.8014705882352864</v>
          </cell>
          <cell r="T121">
            <v>0.97638888888888886</v>
          </cell>
          <cell r="U121">
            <v>1.0923611111111111</v>
          </cell>
          <cell r="V121">
            <v>62</v>
          </cell>
          <cell r="AD121">
            <v>55.5</v>
          </cell>
          <cell r="AE121">
            <v>11.8</v>
          </cell>
          <cell r="AG121">
            <v>51.8</v>
          </cell>
          <cell r="AS121">
            <v>101.34183343248617</v>
          </cell>
          <cell r="AT121">
            <v>102.70380361344789</v>
          </cell>
          <cell r="AV121" t="str">
            <v>R. Regis</v>
          </cell>
          <cell r="AW121">
            <v>0.25902777777777775</v>
          </cell>
        </row>
        <row r="122">
          <cell r="A122" t="str">
            <v>ST106</v>
          </cell>
          <cell r="P122">
            <v>59</v>
          </cell>
          <cell r="Q122">
            <v>5.4945054945054945</v>
          </cell>
          <cell r="T122">
            <v>1.0305555555555557</v>
          </cell>
          <cell r="U122">
            <v>0.97361111111111109</v>
          </cell>
          <cell r="V122">
            <v>67</v>
          </cell>
          <cell r="AD122">
            <v>56.8</v>
          </cell>
          <cell r="AE122">
            <v>11.7</v>
          </cell>
          <cell r="AG122">
            <v>53.2</v>
          </cell>
          <cell r="AS122">
            <v>103.02428455849693</v>
          </cell>
          <cell r="AT122">
            <v>104.40931475975246</v>
          </cell>
          <cell r="AV122" t="str">
            <v>R.Sookram</v>
          </cell>
          <cell r="AW122">
            <v>0.25138888888888888</v>
          </cell>
        </row>
        <row r="123">
          <cell r="A123" t="str">
            <v>ST107</v>
          </cell>
          <cell r="P123">
            <v>72</v>
          </cell>
          <cell r="Q123">
            <v>9.0740740740740726</v>
          </cell>
          <cell r="T123">
            <v>1.0930555555555557</v>
          </cell>
          <cell r="U123">
            <v>0.26111111111111113</v>
          </cell>
          <cell r="V123">
            <v>59</v>
          </cell>
          <cell r="AD123">
            <v>53.3</v>
          </cell>
          <cell r="AE123">
            <v>11.9</v>
          </cell>
          <cell r="AG123">
            <v>49.9</v>
          </cell>
          <cell r="AS123">
            <v>98.371980498141809</v>
          </cell>
          <cell r="AT123">
            <v>99.694466400675665</v>
          </cell>
          <cell r="AV123" t="str">
            <v>K. Benjamin</v>
          </cell>
          <cell r="AW123">
            <v>-0.67638888888888893</v>
          </cell>
        </row>
        <row r="124">
          <cell r="A124" t="str">
            <v>ST108</v>
          </cell>
          <cell r="P124">
            <v>59</v>
          </cell>
          <cell r="Q124">
            <v>6.3520871143375679</v>
          </cell>
          <cell r="T124">
            <v>0.45694444444444443</v>
          </cell>
          <cell r="U124">
            <v>0.56736111111111109</v>
          </cell>
          <cell r="V124">
            <v>56</v>
          </cell>
          <cell r="AD124">
            <v>53.8</v>
          </cell>
          <cell r="AE124">
            <v>11.7</v>
          </cell>
          <cell r="AG124">
            <v>50.4</v>
          </cell>
          <cell r="AS124">
            <v>97.480302480496775</v>
          </cell>
          <cell r="AT124">
            <v>98.79122463537648</v>
          </cell>
          <cell r="AV124" t="str">
            <v>R. Regis</v>
          </cell>
          <cell r="AW124">
            <v>0.24444444444444441</v>
          </cell>
        </row>
        <row r="125">
          <cell r="A125" t="str">
            <v>ST109</v>
          </cell>
          <cell r="P125">
            <v>60</v>
          </cell>
          <cell r="Q125">
            <v>5.8076225045372105</v>
          </cell>
          <cell r="T125">
            <v>0.55902777777777779</v>
          </cell>
          <cell r="U125">
            <v>0.66805555555555551</v>
          </cell>
          <cell r="V125">
            <v>58</v>
          </cell>
          <cell r="AD125">
            <v>53.7</v>
          </cell>
          <cell r="AE125">
            <v>11.85</v>
          </cell>
          <cell r="AG125">
            <v>50.2</v>
          </cell>
          <cell r="AS125">
            <v>99.211017553113123</v>
          </cell>
          <cell r="AT125">
            <v>100.54391751367288</v>
          </cell>
          <cell r="AV125" t="str">
            <v>R. Regis</v>
          </cell>
          <cell r="AW125">
            <v>0.2409722222222222</v>
          </cell>
        </row>
        <row r="126">
          <cell r="A126" t="str">
            <v>ST110</v>
          </cell>
          <cell r="P126">
            <v>60</v>
          </cell>
          <cell r="Q126">
            <v>5.3016453382084068</v>
          </cell>
          <cell r="T126">
            <v>0.65972222222222221</v>
          </cell>
          <cell r="U126">
            <v>0.77152777777777781</v>
          </cell>
          <cell r="V126">
            <v>63</v>
          </cell>
          <cell r="AD126">
            <v>54</v>
          </cell>
          <cell r="AE126">
            <v>11.71</v>
          </cell>
          <cell r="AG126">
            <v>50.6</v>
          </cell>
          <cell r="AS126">
            <v>98.111702404981273</v>
          </cell>
          <cell r="AT126">
            <v>99.430261666769198</v>
          </cell>
          <cell r="AV126" t="str">
            <v>R. Regis</v>
          </cell>
          <cell r="AW126">
            <v>0.24375000000000002</v>
          </cell>
        </row>
        <row r="127">
          <cell r="A127" t="str">
            <v>ST111</v>
          </cell>
          <cell r="P127">
            <v>61</v>
          </cell>
          <cell r="Q127">
            <v>5.9782608695652248</v>
          </cell>
          <cell r="T127">
            <v>0.76111111111111107</v>
          </cell>
          <cell r="U127">
            <v>0.87569444444444444</v>
          </cell>
          <cell r="V127">
            <v>61</v>
          </cell>
          <cell r="AD127">
            <v>54.1</v>
          </cell>
          <cell r="AE127">
            <v>11.74</v>
          </cell>
          <cell r="AG127">
            <v>50.8</v>
          </cell>
          <cell r="AS127">
            <v>98.934461309721527</v>
          </cell>
          <cell r="AT127">
            <v>99.947722761267769</v>
          </cell>
          <cell r="AV127" t="str">
            <v>R. Regis</v>
          </cell>
          <cell r="AW127">
            <v>0.25069444444444444</v>
          </cell>
        </row>
        <row r="128">
          <cell r="A128" t="str">
            <v>ST112</v>
          </cell>
          <cell r="P128">
            <v>58</v>
          </cell>
          <cell r="Q128">
            <v>4.5703839122486292</v>
          </cell>
          <cell r="T128">
            <v>0.85833333333333328</v>
          </cell>
          <cell r="U128">
            <v>0.96666666666666667</v>
          </cell>
          <cell r="V128">
            <v>61</v>
          </cell>
          <cell r="AD128">
            <v>53.5</v>
          </cell>
          <cell r="AE128">
            <v>11.76</v>
          </cell>
          <cell r="AG128">
            <v>50.3</v>
          </cell>
          <cell r="AS128">
            <v>98.841782508267997</v>
          </cell>
          <cell r="AT128">
            <v>99.854094767231132</v>
          </cell>
          <cell r="AV128" t="str">
            <v>R.Sookram</v>
          </cell>
          <cell r="AW128">
            <v>0.24097222222222225</v>
          </cell>
        </row>
        <row r="129">
          <cell r="A129" t="str">
            <v>ST113</v>
          </cell>
          <cell r="P129">
            <v>58</v>
          </cell>
          <cell r="Q129">
            <v>6.355140186915885</v>
          </cell>
          <cell r="T129">
            <v>0.2048611111111111</v>
          </cell>
          <cell r="U129">
            <v>0.31666666666666665</v>
          </cell>
          <cell r="V129">
            <v>60</v>
          </cell>
          <cell r="AD129">
            <v>53.5</v>
          </cell>
          <cell r="AE129">
            <v>11.9</v>
          </cell>
          <cell r="AG129">
            <v>52.2</v>
          </cell>
          <cell r="AS129">
            <v>103.23164333167807</v>
          </cell>
          <cell r="AT129">
            <v>104.28960212655851</v>
          </cell>
          <cell r="AV129" t="str">
            <v>R.Sookram</v>
          </cell>
          <cell r="AW129">
            <v>0.25277777777777777</v>
          </cell>
        </row>
        <row r="130">
          <cell r="A130" t="str">
            <v>ST114</v>
          </cell>
          <cell r="P130">
            <v>61</v>
          </cell>
          <cell r="Q130">
            <v>6.6543438077634036</v>
          </cell>
          <cell r="T130">
            <v>0.31666666666666665</v>
          </cell>
          <cell r="U130">
            <v>0.44166666666666665</v>
          </cell>
          <cell r="V130">
            <v>62</v>
          </cell>
          <cell r="AD130">
            <v>53.1</v>
          </cell>
          <cell r="AE130">
            <v>11.9</v>
          </cell>
          <cell r="AG130">
            <v>49.7</v>
          </cell>
          <cell r="AS130">
            <v>98.533330895870236</v>
          </cell>
          <cell r="AT130">
            <v>99.542484072301647</v>
          </cell>
          <cell r="AV130" t="str">
            <v>K. Benjamin</v>
          </cell>
          <cell r="AW130">
            <v>0.27500000000000002</v>
          </cell>
        </row>
        <row r="131">
          <cell r="A131" t="str">
            <v>ST115</v>
          </cell>
          <cell r="P131">
            <v>61</v>
          </cell>
          <cell r="Q131">
            <v>6.204379562043794</v>
          </cell>
          <cell r="T131">
            <v>0.41875000000000001</v>
          </cell>
          <cell r="U131">
            <v>0.53888888888888886</v>
          </cell>
          <cell r="V131">
            <v>57</v>
          </cell>
          <cell r="AD131">
            <v>53.2</v>
          </cell>
          <cell r="AE131">
            <v>11.8</v>
          </cell>
          <cell r="AG131">
            <v>49.9</v>
          </cell>
          <cell r="AS131">
            <v>98.055764357108799</v>
          </cell>
          <cell r="AT131">
            <v>99.060026419181582</v>
          </cell>
          <cell r="AV131" t="str">
            <v>K. Benjamin</v>
          </cell>
          <cell r="AW131">
            <v>0.24722222222222218</v>
          </cell>
        </row>
        <row r="132">
          <cell r="A132" t="str">
            <v>ST116</v>
          </cell>
          <cell r="P132">
            <v>62</v>
          </cell>
          <cell r="Q132">
            <v>5.3505535055350526</v>
          </cell>
          <cell r="T132">
            <v>0.54583333333333328</v>
          </cell>
          <cell r="U132">
            <v>0.65555555555555556</v>
          </cell>
          <cell r="V132">
            <v>58</v>
          </cell>
          <cell r="AD132">
            <v>53.5</v>
          </cell>
          <cell r="AE132">
            <v>11.8</v>
          </cell>
          <cell r="AG132">
            <v>50.3</v>
          </cell>
          <cell r="AS132">
            <v>98.965495815775583</v>
          </cell>
          <cell r="AT132">
            <v>99.978744719441565</v>
          </cell>
          <cell r="AV132" t="str">
            <v>K. Benjamin</v>
          </cell>
          <cell r="AW132">
            <v>0.23888888888888887</v>
          </cell>
        </row>
        <row r="133">
          <cell r="A133" t="str">
            <v>ST117</v>
          </cell>
          <cell r="P133">
            <v>60</v>
          </cell>
          <cell r="Q133">
            <v>5.4545454545454541</v>
          </cell>
          <cell r="T133">
            <v>0.67638888888888893</v>
          </cell>
          <cell r="U133">
            <v>0.78541666666666665</v>
          </cell>
          <cell r="V133">
            <v>61</v>
          </cell>
          <cell r="AD133">
            <v>52.9</v>
          </cell>
          <cell r="AE133">
            <v>11.9</v>
          </cell>
          <cell r="AG133">
            <v>49.5</v>
          </cell>
          <cell r="AS133">
            <v>98.136818497898929</v>
          </cell>
          <cell r="AT133">
            <v>99.141910695753126</v>
          </cell>
          <cell r="AV133" t="str">
            <v>R. Regis</v>
          </cell>
          <cell r="AW133">
            <v>0.24375000000000002</v>
          </cell>
        </row>
        <row r="134">
          <cell r="A134" t="str">
            <v>ST118</v>
          </cell>
          <cell r="P134">
            <v>61</v>
          </cell>
          <cell r="Q134">
            <v>5.4744525547445129</v>
          </cell>
          <cell r="T134">
            <v>0.8041666666666667</v>
          </cell>
          <cell r="U134">
            <v>0.91597222222222219</v>
          </cell>
          <cell r="V134">
            <v>58</v>
          </cell>
          <cell r="AD134">
            <v>54</v>
          </cell>
          <cell r="AE134">
            <v>11.8</v>
          </cell>
          <cell r="AG134">
            <v>51</v>
          </cell>
          <cell r="AS134">
            <v>99.594814290107152</v>
          </cell>
          <cell r="AT134">
            <v>100.61648903035018</v>
          </cell>
          <cell r="AV134" t="str">
            <v>R. Regis</v>
          </cell>
          <cell r="AW134">
            <v>0.24930555555555556</v>
          </cell>
        </row>
        <row r="135">
          <cell r="A135" t="str">
            <v>ST119</v>
          </cell>
          <cell r="P135">
            <v>60</v>
          </cell>
          <cell r="Q135">
            <v>4.9541284403669641</v>
          </cell>
          <cell r="T135">
            <v>0.93333333333333335</v>
          </cell>
          <cell r="U135">
            <v>1.0430555555555556</v>
          </cell>
          <cell r="V135">
            <v>62</v>
          </cell>
          <cell r="AD135">
            <v>53.6</v>
          </cell>
          <cell r="AE135">
            <v>11.7</v>
          </cell>
          <cell r="AG135">
            <v>50.5</v>
          </cell>
          <cell r="AS135">
            <v>98.47330071154957</v>
          </cell>
          <cell r="AT135">
            <v>99.481510322019105</v>
          </cell>
          <cell r="AV135" t="str">
            <v>R. Regis</v>
          </cell>
          <cell r="AW135">
            <v>0.24444444444444446</v>
          </cell>
        </row>
        <row r="136">
          <cell r="A136" t="str">
            <v>ST120</v>
          </cell>
          <cell r="P136">
            <v>57</v>
          </cell>
          <cell r="Q136">
            <v>4.5703839122486292</v>
          </cell>
          <cell r="T136">
            <v>1.0479166666666666</v>
          </cell>
          <cell r="U136">
            <v>1.1569444444444446</v>
          </cell>
          <cell r="V136">
            <v>64</v>
          </cell>
          <cell r="AD136">
            <v>55.3</v>
          </cell>
          <cell r="AE136">
            <v>11.9</v>
          </cell>
          <cell r="AG136">
            <v>52.2</v>
          </cell>
          <cell r="AS136">
            <v>103.36052848626758</v>
          </cell>
          <cell r="AT136">
            <v>104.4194647946904</v>
          </cell>
          <cell r="AV136" t="str">
            <v>R.Sookram</v>
          </cell>
          <cell r="AW136">
            <v>0.24027777777777792</v>
          </cell>
        </row>
        <row r="137">
          <cell r="A137" t="str">
            <v>ST121</v>
          </cell>
          <cell r="P137">
            <v>61</v>
          </cell>
          <cell r="Q137">
            <v>7.7338129496402823</v>
          </cell>
          <cell r="T137">
            <v>0.72569444444444442</v>
          </cell>
          <cell r="U137">
            <v>0.85555555555555551</v>
          </cell>
          <cell r="V137">
            <v>53</v>
          </cell>
          <cell r="AD137">
            <v>52.2</v>
          </cell>
          <cell r="AE137">
            <v>11.8</v>
          </cell>
          <cell r="AG137">
            <v>48</v>
          </cell>
          <cell r="AS137">
            <v>94.448940517191943</v>
          </cell>
          <cell r="AT137">
            <v>95.526399618513679</v>
          </cell>
          <cell r="AV137" t="str">
            <v>R. Regis</v>
          </cell>
          <cell r="AW137">
            <v>0.27222222222222214</v>
          </cell>
        </row>
        <row r="138">
          <cell r="A138" t="str">
            <v>ST122</v>
          </cell>
          <cell r="P138">
            <v>60</v>
          </cell>
          <cell r="Q138">
            <v>5.3211009174311901</v>
          </cell>
          <cell r="T138">
            <v>0.84166666666666667</v>
          </cell>
          <cell r="U138">
            <v>0.94861111111111107</v>
          </cell>
          <cell r="V138">
            <v>57</v>
          </cell>
          <cell r="AD138">
            <v>52.9</v>
          </cell>
          <cell r="AE138">
            <v>11.7</v>
          </cell>
          <cell r="AG138">
            <v>49.7</v>
          </cell>
          <cell r="AS138">
            <v>96.922261553729911</v>
          </cell>
          <cell r="AT138">
            <v>98.027935924028895</v>
          </cell>
          <cell r="AV138" t="str">
            <v>R.Sookram</v>
          </cell>
          <cell r="AW138">
            <v>0.2402777777777777</v>
          </cell>
        </row>
        <row r="139">
          <cell r="A139" t="str">
            <v>ST123</v>
          </cell>
          <cell r="P139">
            <v>56</v>
          </cell>
          <cell r="Q139">
            <v>3.0131826741996259</v>
          </cell>
          <cell r="T139">
            <v>0.98958333333333337</v>
          </cell>
          <cell r="U139">
            <v>1.1006944444444444</v>
          </cell>
          <cell r="V139">
            <v>56</v>
          </cell>
          <cell r="AD139">
            <v>52.8</v>
          </cell>
          <cell r="AE139">
            <v>11.8</v>
          </cell>
          <cell r="AG139">
            <v>49.4</v>
          </cell>
          <cell r="AS139">
            <v>97.203701282276711</v>
          </cell>
          <cell r="AT139">
            <v>98.312586274053672</v>
          </cell>
          <cell r="AV139" t="str">
            <v>R.Sookram</v>
          </cell>
          <cell r="AW139">
            <v>0.26736111111111105</v>
          </cell>
        </row>
        <row r="140">
          <cell r="A140" t="str">
            <v>ST124</v>
          </cell>
          <cell r="P140">
            <v>57</v>
          </cell>
          <cell r="Q140">
            <v>5.2919708029197059</v>
          </cell>
          <cell r="T140">
            <v>1.1145833333333333</v>
          </cell>
          <cell r="U140">
            <v>1.2097222222222221</v>
          </cell>
          <cell r="V140">
            <v>61</v>
          </cell>
          <cell r="AD140">
            <v>52.8</v>
          </cell>
          <cell r="AE140">
            <v>11.8</v>
          </cell>
          <cell r="AG140">
            <v>49.5</v>
          </cell>
          <cell r="AS140">
            <v>97.400469908354196</v>
          </cell>
          <cell r="AT140">
            <v>98.511599606592242</v>
          </cell>
          <cell r="AV140" t="str">
            <v>R.Sookram</v>
          </cell>
          <cell r="AW140">
            <v>0.25138888888888877</v>
          </cell>
        </row>
      </sheetData>
      <sheetData sheetId="7">
        <row r="82">
          <cell r="A82" t="str">
            <v>ST067</v>
          </cell>
          <cell r="D82">
            <v>11.8</v>
          </cell>
        </row>
        <row r="83">
          <cell r="D83">
            <v>12.1</v>
          </cell>
        </row>
        <row r="84">
          <cell r="D84">
            <v>12</v>
          </cell>
        </row>
        <row r="85">
          <cell r="D85">
            <v>12</v>
          </cell>
        </row>
        <row r="86">
          <cell r="D86">
            <v>12</v>
          </cell>
        </row>
        <row r="87">
          <cell r="D87">
            <v>12</v>
          </cell>
        </row>
        <row r="88">
          <cell r="D88">
            <v>12</v>
          </cell>
        </row>
        <row r="89">
          <cell r="D89">
            <v>11.9</v>
          </cell>
        </row>
        <row r="90">
          <cell r="D90">
            <v>11.9</v>
          </cell>
        </row>
        <row r="91">
          <cell r="D91">
            <v>12</v>
          </cell>
        </row>
        <row r="92">
          <cell r="D92">
            <v>12.1</v>
          </cell>
        </row>
        <row r="93">
          <cell r="D93">
            <v>12</v>
          </cell>
        </row>
        <row r="94">
          <cell r="D94">
            <v>12</v>
          </cell>
        </row>
        <row r="95">
          <cell r="D95">
            <v>11.8</v>
          </cell>
        </row>
        <row r="96">
          <cell r="D96">
            <v>11.8</v>
          </cell>
        </row>
        <row r="97">
          <cell r="D97">
            <v>11.9</v>
          </cell>
        </row>
        <row r="98">
          <cell r="D98">
            <v>12</v>
          </cell>
        </row>
        <row r="99">
          <cell r="D99">
            <v>11.8</v>
          </cell>
        </row>
        <row r="100">
          <cell r="D100">
            <v>12.1</v>
          </cell>
        </row>
        <row r="101">
          <cell r="D101">
            <v>12</v>
          </cell>
        </row>
        <row r="102">
          <cell r="D102">
            <v>11.8</v>
          </cell>
        </row>
        <row r="103">
          <cell r="D103">
            <v>11.8</v>
          </cell>
        </row>
        <row r="105">
          <cell r="D105">
            <v>11.85</v>
          </cell>
        </row>
        <row r="106">
          <cell r="D106">
            <v>11.74</v>
          </cell>
        </row>
        <row r="107">
          <cell r="D107">
            <v>11.9</v>
          </cell>
        </row>
        <row r="108">
          <cell r="D108">
            <v>11.7</v>
          </cell>
        </row>
        <row r="109">
          <cell r="D109">
            <v>11.6</v>
          </cell>
        </row>
        <row r="110">
          <cell r="D110">
            <v>11.8</v>
          </cell>
        </row>
        <row r="111">
          <cell r="D111">
            <v>12</v>
          </cell>
        </row>
        <row r="112">
          <cell r="D112">
            <v>11.9</v>
          </cell>
        </row>
        <row r="113">
          <cell r="D113">
            <v>12</v>
          </cell>
        </row>
        <row r="114">
          <cell r="D114">
            <v>11.86</v>
          </cell>
        </row>
        <row r="115">
          <cell r="D115">
            <v>11.75</v>
          </cell>
        </row>
        <row r="116">
          <cell r="D116">
            <v>11.71</v>
          </cell>
        </row>
        <row r="117">
          <cell r="D117">
            <v>11.71</v>
          </cell>
        </row>
        <row r="118">
          <cell r="D118">
            <v>11.77</v>
          </cell>
        </row>
        <row r="119">
          <cell r="D119">
            <v>11.8</v>
          </cell>
        </row>
        <row r="120">
          <cell r="D120">
            <v>12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March '25"/>
      <sheetName val="Summary February '25"/>
      <sheetName val="Summary January '25"/>
      <sheetName val="Summary Dec '24  "/>
      <sheetName val="Summary Nov '24 "/>
      <sheetName val="Summary Oct '24"/>
      <sheetName val="Summary May '24"/>
      <sheetName val="Summary April '24 "/>
      <sheetName val="Summary March '24"/>
      <sheetName val="Summary February '24"/>
      <sheetName val="Summary January '24"/>
      <sheetName val="Summary December '23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24" t="str">
            <v>GU019</v>
          </cell>
          <cell r="O24">
            <v>59</v>
          </cell>
          <cell r="R24">
            <v>5.4394693200663253</v>
          </cell>
          <cell r="T24">
            <v>0.26250000000000001</v>
          </cell>
          <cell r="U24">
            <v>0.39583333333333331</v>
          </cell>
          <cell r="V24">
            <v>73</v>
          </cell>
          <cell r="Z24">
            <v>0.28819444444444442</v>
          </cell>
          <cell r="AF24">
            <v>59.7</v>
          </cell>
          <cell r="AG24">
            <v>17.3</v>
          </cell>
          <cell r="AI24">
            <v>54.1</v>
          </cell>
          <cell r="AU24">
            <v>101.17562190812932</v>
          </cell>
          <cell r="AV24">
            <v>102.60918597498461</v>
          </cell>
          <cell r="AW24" t="str">
            <v>R. Regis</v>
          </cell>
        </row>
        <row r="25">
          <cell r="A25" t="str">
            <v>GU020</v>
          </cell>
          <cell r="O25">
            <v>56</v>
          </cell>
          <cell r="R25">
            <v>1.9148936170212734</v>
          </cell>
          <cell r="T25">
            <v>0.41111111111111109</v>
          </cell>
          <cell r="U25">
            <v>0.54305555555555551</v>
          </cell>
          <cell r="V25">
            <v>66</v>
          </cell>
          <cell r="Z25">
            <v>0.31388888888888888</v>
          </cell>
          <cell r="AF25">
            <v>61.2</v>
          </cell>
          <cell r="AG25">
            <v>17.3</v>
          </cell>
          <cell r="AI25">
            <v>55.8</v>
          </cell>
          <cell r="AU25">
            <v>104.35489283685058</v>
          </cell>
          <cell r="AV25">
            <v>105.83350420340372</v>
          </cell>
          <cell r="AW25" t="str">
            <v>R.Sookram</v>
          </cell>
        </row>
        <row r="26">
          <cell r="A26" t="str">
            <v>GU021</v>
          </cell>
          <cell r="O26">
            <v>56</v>
          </cell>
          <cell r="R26">
            <v>3.5924006908462842</v>
          </cell>
          <cell r="T26">
            <v>0.53194444444444444</v>
          </cell>
          <cell r="U26">
            <v>0.65555555555555556</v>
          </cell>
          <cell r="V26">
            <v>74</v>
          </cell>
          <cell r="Z26">
            <v>0.32222222222222224</v>
          </cell>
          <cell r="AF26">
            <v>58.2</v>
          </cell>
          <cell r="AG26">
            <v>17.18</v>
          </cell>
          <cell r="AI26">
            <v>53.2</v>
          </cell>
          <cell r="AU26">
            <v>96.487973390295707</v>
          </cell>
          <cell r="AV26">
            <v>97.820728291316513</v>
          </cell>
          <cell r="AW26" t="str">
            <v>R.Sookram</v>
          </cell>
        </row>
        <row r="27">
          <cell r="A27" t="str">
            <v>GU022</v>
          </cell>
          <cell r="O27">
            <v>59</v>
          </cell>
          <cell r="R27">
            <v>3.5986159169550147</v>
          </cell>
          <cell r="T27">
            <v>0.66874999999999996</v>
          </cell>
          <cell r="U27">
            <v>0.78611111111111109</v>
          </cell>
          <cell r="V27">
            <v>60</v>
          </cell>
          <cell r="Z27">
            <v>0.29305555555555551</v>
          </cell>
          <cell r="AF27">
            <v>58.4</v>
          </cell>
          <cell r="AG27">
            <v>17.22</v>
          </cell>
          <cell r="AI27">
            <v>53</v>
          </cell>
          <cell r="AU27">
            <v>96.125236648226917</v>
          </cell>
          <cell r="AV27">
            <v>97.452981192476969</v>
          </cell>
          <cell r="AW27" t="str">
            <v>K. Benjamin</v>
          </cell>
        </row>
        <row r="28">
          <cell r="A28" t="str">
            <v>GU023</v>
          </cell>
          <cell r="O28">
            <v>60</v>
          </cell>
          <cell r="R28">
            <v>3.7201365187713304</v>
          </cell>
          <cell r="T28">
            <v>0.77777777777777779</v>
          </cell>
          <cell r="U28">
            <v>0.89722222222222225</v>
          </cell>
          <cell r="V28">
            <v>60</v>
          </cell>
          <cell r="Z28">
            <v>0.27222222222222225</v>
          </cell>
          <cell r="AF28">
            <v>56.7</v>
          </cell>
          <cell r="AG28">
            <v>17.03</v>
          </cell>
          <cell r="AI28">
            <v>52.3</v>
          </cell>
          <cell r="AU28">
            <v>96.035425509762433</v>
          </cell>
          <cell r="AV28">
            <v>97.395921508272394</v>
          </cell>
          <cell r="AW28" t="str">
            <v>K. Benjamin</v>
          </cell>
        </row>
        <row r="29">
          <cell r="A29" t="str">
            <v>GU024</v>
          </cell>
          <cell r="O29">
            <v>59</v>
          </cell>
          <cell r="R29">
            <v>2.5299145299145245</v>
          </cell>
          <cell r="T29">
            <v>0.89236111111111116</v>
          </cell>
          <cell r="U29">
            <v>1.0305555555555554</v>
          </cell>
          <cell r="V29">
            <v>73</v>
          </cell>
          <cell r="Z29">
            <v>0.30138888888888882</v>
          </cell>
          <cell r="AF29">
            <v>58.1</v>
          </cell>
          <cell r="AG29">
            <v>17.04</v>
          </cell>
          <cell r="AI29">
            <v>53.1</v>
          </cell>
          <cell r="AU29">
            <v>97.504418634194764</v>
          </cell>
          <cell r="AV29">
            <v>98.885725278953444</v>
          </cell>
          <cell r="AW29" t="str">
            <v>K. Benjamin</v>
          </cell>
        </row>
        <row r="30">
          <cell r="A30" t="str">
            <v>GU025</v>
          </cell>
          <cell r="O30">
            <v>58</v>
          </cell>
          <cell r="R30">
            <v>2.9166666666666661</v>
          </cell>
          <cell r="T30">
            <v>1.0111111111111111</v>
          </cell>
          <cell r="U30">
            <v>1.125</v>
          </cell>
          <cell r="V30">
            <v>69</v>
          </cell>
          <cell r="Z30">
            <v>0.28472222222222221</v>
          </cell>
          <cell r="AF30">
            <v>57</v>
          </cell>
          <cell r="AG30">
            <v>17.11</v>
          </cell>
          <cell r="AI30">
            <v>52.1</v>
          </cell>
          <cell r="AU30">
            <v>96.37756538871183</v>
          </cell>
          <cell r="AV30">
            <v>97.74267084253222</v>
          </cell>
          <cell r="AW30" t="str">
            <v>R. Regis</v>
          </cell>
        </row>
        <row r="31">
          <cell r="A31" t="str">
            <v>GU026</v>
          </cell>
          <cell r="O31">
            <v>58</v>
          </cell>
          <cell r="R31">
            <v>2.2299651567944148</v>
          </cell>
          <cell r="T31">
            <v>1.1090277777777777</v>
          </cell>
          <cell r="U31">
            <v>1.2298611111111111</v>
          </cell>
          <cell r="V31">
            <v>74</v>
          </cell>
          <cell r="Z31">
            <v>0.2715277777777777</v>
          </cell>
          <cell r="AF31">
            <v>57.2</v>
          </cell>
          <cell r="AG31">
            <v>17.079999999999998</v>
          </cell>
          <cell r="AI31">
            <v>52.7</v>
          </cell>
          <cell r="AU31">
            <v>97.487479769387974</v>
          </cell>
          <cell r="AV31">
            <v>98.868306207321481</v>
          </cell>
          <cell r="AW31" t="str">
            <v>R. Regis</v>
          </cell>
        </row>
        <row r="32">
          <cell r="A32" t="str">
            <v>GU027</v>
          </cell>
          <cell r="O32">
            <v>55</v>
          </cell>
          <cell r="R32">
            <v>3.2427578021294794</v>
          </cell>
          <cell r="T32">
            <v>0.56944444444444442</v>
          </cell>
          <cell r="U32">
            <v>0.68125000000000002</v>
          </cell>
          <cell r="V32">
            <v>68</v>
          </cell>
          <cell r="Z32">
            <v>0.24375000000000002</v>
          </cell>
          <cell r="AF32">
            <v>56.7</v>
          </cell>
          <cell r="AG32">
            <v>17.5</v>
          </cell>
          <cell r="AI32">
            <v>50.8</v>
          </cell>
          <cell r="AU32">
            <v>94.125484514622414</v>
          </cell>
          <cell r="AV32">
            <v>95.20947112857607</v>
          </cell>
          <cell r="AW32" t="str">
            <v>R.Sookram</v>
          </cell>
        </row>
        <row r="33">
          <cell r="A33" t="str">
            <v>GU028</v>
          </cell>
          <cell r="O33">
            <v>62</v>
          </cell>
          <cell r="R33">
            <v>4.6853146853146841</v>
          </cell>
          <cell r="T33">
            <v>0.6875</v>
          </cell>
          <cell r="U33">
            <v>0.80833333333333335</v>
          </cell>
          <cell r="V33">
            <v>64</v>
          </cell>
          <cell r="Z33">
            <v>0.24583333333333335</v>
          </cell>
          <cell r="AF33">
            <v>56.9</v>
          </cell>
          <cell r="AG33">
            <v>17.8</v>
          </cell>
          <cell r="AI33">
            <v>51.7</v>
          </cell>
          <cell r="AU33">
            <v>97.508191618159188</v>
          </cell>
          <cell r="AV33">
            <v>98.631352541016398</v>
          </cell>
          <cell r="AW33" t="str">
            <v>R.Sookram</v>
          </cell>
        </row>
        <row r="34">
          <cell r="A34" t="str">
            <v>GU029</v>
          </cell>
          <cell r="O34">
            <v>60</v>
          </cell>
          <cell r="R34">
            <v>2.8014184397163091</v>
          </cell>
          <cell r="T34">
            <v>0.81944444444444442</v>
          </cell>
          <cell r="U34">
            <v>0.94444444444444442</v>
          </cell>
          <cell r="V34">
            <v>67</v>
          </cell>
          <cell r="Z34">
            <v>0.25694444444444442</v>
          </cell>
          <cell r="AF34">
            <v>59.1</v>
          </cell>
          <cell r="AG34">
            <v>17.2</v>
          </cell>
          <cell r="AI34">
            <v>53.9</v>
          </cell>
          <cell r="AU34">
            <v>97.827131938655612</v>
          </cell>
          <cell r="AV34">
            <v>98.954402437197203</v>
          </cell>
          <cell r="AW34" t="str">
            <v>K. Benjamin</v>
          </cell>
        </row>
        <row r="35">
          <cell r="A35" t="str">
            <v>GU030</v>
          </cell>
          <cell r="O35">
            <v>58</v>
          </cell>
          <cell r="R35">
            <v>2.5649913344887416</v>
          </cell>
          <cell r="T35">
            <v>0.98124999999999996</v>
          </cell>
          <cell r="U35">
            <v>1.1006944444444444</v>
          </cell>
          <cell r="V35">
            <v>65</v>
          </cell>
          <cell r="Z35">
            <v>0.25347222222222221</v>
          </cell>
          <cell r="AF35">
            <v>58.6</v>
          </cell>
          <cell r="AG35">
            <v>17</v>
          </cell>
          <cell r="AI35">
            <v>53.7</v>
          </cell>
          <cell r="AU35">
            <v>96.619542475024176</v>
          </cell>
          <cell r="AV35">
            <v>97.731819207339981</v>
          </cell>
          <cell r="AW35" t="str">
            <v>R. Regis</v>
          </cell>
        </row>
      </sheetData>
      <sheetData sheetId="2">
        <row r="29">
          <cell r="B29">
            <v>45706</v>
          </cell>
          <cell r="D29">
            <v>17.600000000000001</v>
          </cell>
        </row>
        <row r="30">
          <cell r="D30">
            <v>17.5</v>
          </cell>
        </row>
        <row r="33">
          <cell r="D33">
            <v>17.399999999999999</v>
          </cell>
        </row>
        <row r="34">
          <cell r="D34">
            <v>17.399999999999999</v>
          </cell>
        </row>
        <row r="36">
          <cell r="D36">
            <v>17.899999999999999</v>
          </cell>
        </row>
        <row r="37">
          <cell r="D37">
            <v>17.5</v>
          </cell>
        </row>
        <row r="38">
          <cell r="D38">
            <v>17.5</v>
          </cell>
        </row>
        <row r="39">
          <cell r="D39">
            <v>17.600000000000001</v>
          </cell>
        </row>
        <row r="40">
          <cell r="D40">
            <v>17.2</v>
          </cell>
        </row>
        <row r="41">
          <cell r="D41">
            <v>17.3</v>
          </cell>
        </row>
        <row r="42">
          <cell r="D42">
            <v>17.3</v>
          </cell>
        </row>
        <row r="43">
          <cell r="D43">
            <v>17.399999999999999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February '25"/>
      <sheetName val="Summary January '25"/>
      <sheetName val="Summary December '24 "/>
      <sheetName val="Summary March '25"/>
    </sheetNames>
    <sheetDataSet>
      <sheetData sheetId="0" refreshError="1"/>
      <sheetData sheetId="1" refreshError="1"/>
      <sheetData sheetId="2" refreshError="1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21" t="str">
            <v>VM015</v>
          </cell>
          <cell r="R21">
            <v>57</v>
          </cell>
          <cell r="S21">
            <v>5.205479452054802</v>
          </cell>
          <cell r="V21">
            <v>0.96944444444444444</v>
          </cell>
          <cell r="W21">
            <v>1.1215277777777777</v>
          </cell>
          <cell r="X21">
            <v>85</v>
          </cell>
          <cell r="AB21">
            <v>0.28819444444444431</v>
          </cell>
          <cell r="AE21">
            <v>51.1</v>
          </cell>
          <cell r="AH21">
            <v>14.3</v>
          </cell>
          <cell r="AJ21">
            <v>49.9</v>
          </cell>
          <cell r="AV21">
            <v>101.27863888434283</v>
          </cell>
          <cell r="AW21">
            <v>101.5680388425275</v>
          </cell>
          <cell r="AZ21" t="str">
            <v>R.Sookram</v>
          </cell>
        </row>
        <row r="22">
          <cell r="A22" t="str">
            <v>VM016</v>
          </cell>
          <cell r="R22">
            <v>57</v>
          </cell>
          <cell r="S22">
            <v>1.8972332015810291</v>
          </cell>
          <cell r="V22">
            <v>1.1381944444444445</v>
          </cell>
          <cell r="W22">
            <v>1.2694444444444444</v>
          </cell>
          <cell r="X22">
            <v>86</v>
          </cell>
          <cell r="AB22">
            <v>0.29027777777777775</v>
          </cell>
          <cell r="AE22">
            <v>50.6</v>
          </cell>
          <cell r="AH22">
            <v>14.6</v>
          </cell>
          <cell r="AJ22">
            <v>47.9</v>
          </cell>
          <cell r="AV22">
            <v>99.303486828954206</v>
          </cell>
          <cell r="AW22">
            <v>99.588438634055365</v>
          </cell>
          <cell r="AZ22" t="str">
            <v>R.Sookram</v>
          </cell>
        </row>
        <row r="23">
          <cell r="A23" t="str">
            <v>VM017</v>
          </cell>
          <cell r="R23">
            <v>57</v>
          </cell>
          <cell r="S23">
            <v>6.174242424242407</v>
          </cell>
          <cell r="V23">
            <v>0.26597222222222222</v>
          </cell>
          <cell r="W23">
            <v>0.42152777777777778</v>
          </cell>
          <cell r="X23">
            <v>88</v>
          </cell>
          <cell r="AB23">
            <v>0.2895833333333333</v>
          </cell>
          <cell r="AE23">
            <v>52.8</v>
          </cell>
          <cell r="AH23">
            <v>14.7</v>
          </cell>
          <cell r="AJ23">
            <v>49.6</v>
          </cell>
          <cell r="AV23">
            <v>103.66984113752797</v>
          </cell>
          <cell r="AW23">
            <v>103.96607386755581</v>
          </cell>
          <cell r="AZ23" t="str">
            <v>K. Benjamin</v>
          </cell>
        </row>
        <row r="24">
          <cell r="A24" t="str">
            <v>VM018</v>
          </cell>
          <cell r="R24">
            <v>60</v>
          </cell>
          <cell r="S24">
            <v>6.9318181818181754</v>
          </cell>
          <cell r="V24">
            <v>0.40694444444444444</v>
          </cell>
          <cell r="W24">
            <v>0.54374999999999996</v>
          </cell>
          <cell r="X24">
            <v>86</v>
          </cell>
          <cell r="AB24">
            <v>0.27291666666666664</v>
          </cell>
          <cell r="AE24">
            <v>52.8</v>
          </cell>
          <cell r="AH24">
            <v>14.1</v>
          </cell>
          <cell r="AJ24">
            <v>47.8</v>
          </cell>
          <cell r="AV24">
            <v>95.602927454157623</v>
          </cell>
          <cell r="AW24">
            <v>95.87610927721866</v>
          </cell>
          <cell r="AZ24" t="str">
            <v>K. Benjamin</v>
          </cell>
        </row>
      </sheetData>
      <sheetData sheetId="4">
        <row r="5">
          <cell r="D5">
            <v>14.8</v>
          </cell>
        </row>
        <row r="21">
          <cell r="D21">
            <v>14.3</v>
          </cell>
        </row>
        <row r="22">
          <cell r="D22">
            <v>14.6</v>
          </cell>
        </row>
        <row r="23">
          <cell r="D23">
            <v>14.7</v>
          </cell>
        </row>
        <row r="24">
          <cell r="D24">
            <v>14.1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February'25"/>
      <sheetName val="Summary January'25"/>
      <sheetName val="Summary March '24"/>
      <sheetName val="Summary January'24"/>
      <sheetName val="Summary March'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</sheetData>
      <sheetData sheetId="8">
        <row r="4">
          <cell r="C4" t="str">
            <v>DPV</v>
          </cell>
        </row>
      </sheetData>
      <sheetData sheetId="9"/>
      <sheetData sheetId="10" refreshError="1"/>
      <sheetData sheetId="11" refreshError="1"/>
      <sheetData sheetId="12"/>
      <sheetData sheetId="13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 refreshError="1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70">
          <cell r="M70">
            <v>6.5</v>
          </cell>
        </row>
      </sheetData>
      <sheetData sheetId="17" refreshError="1"/>
      <sheetData sheetId="18">
        <row r="65">
          <cell r="L65">
            <v>95.175721461636485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>
        <row r="7">
          <cell r="E7">
            <v>387.5</v>
          </cell>
        </row>
      </sheetData>
      <sheetData sheetId="1">
        <row r="7">
          <cell r="F7">
            <v>376</v>
          </cell>
        </row>
      </sheetData>
      <sheetData sheetId="2">
        <row r="3">
          <cell r="G3">
            <v>406.3</v>
          </cell>
          <cell r="M3">
            <v>408.9</v>
          </cell>
          <cell r="O3">
            <v>301.39999999999998</v>
          </cell>
          <cell r="P3">
            <v>202.29999999999998</v>
          </cell>
          <cell r="Q3">
            <v>211.3</v>
          </cell>
          <cell r="U3">
            <v>509.79999999999995</v>
          </cell>
          <cell r="X3">
            <v>361.8</v>
          </cell>
          <cell r="AB3">
            <v>292.5</v>
          </cell>
          <cell r="AC3">
            <v>339.72999999999996</v>
          </cell>
          <cell r="AD3">
            <v>400.5</v>
          </cell>
          <cell r="AE3">
            <v>201.59999999999997</v>
          </cell>
          <cell r="AH3">
            <v>403.5</v>
          </cell>
          <cell r="AN3">
            <v>8.3149138297469687</v>
          </cell>
          <cell r="AQ3">
            <v>7.755067532137339</v>
          </cell>
        </row>
        <row r="4">
          <cell r="AN4">
            <v>9.1320577626601764</v>
          </cell>
          <cell r="AQ4">
            <v>7.6622154861695657</v>
          </cell>
        </row>
        <row r="5">
          <cell r="AN5">
            <v>12.668687929841122</v>
          </cell>
          <cell r="AQ5">
            <v>14.436247754556394</v>
          </cell>
        </row>
        <row r="6">
          <cell r="AN6">
            <v>9.2204897908965187</v>
          </cell>
          <cell r="AQ6">
            <v>6.209437755460022</v>
          </cell>
        </row>
        <row r="7">
          <cell r="G7">
            <v>375.1</v>
          </cell>
          <cell r="M7">
            <v>371.1</v>
          </cell>
          <cell r="O7">
            <v>281</v>
          </cell>
          <cell r="P7">
            <v>192.6</v>
          </cell>
          <cell r="Q7">
            <v>193.3</v>
          </cell>
          <cell r="U7">
            <v>460</v>
          </cell>
          <cell r="X7">
            <v>344.20000000000005</v>
          </cell>
          <cell r="AB7">
            <v>257</v>
          </cell>
          <cell r="AC7">
            <v>318.39999999999998</v>
          </cell>
          <cell r="AD7">
            <v>368.70000000000005</v>
          </cell>
          <cell r="AE7">
            <v>186</v>
          </cell>
          <cell r="AH7">
            <v>386.20000000000005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10.607235567685406</v>
          </cell>
        </row>
        <row r="9">
          <cell r="AN9">
            <v>4.90230047253743</v>
          </cell>
          <cell r="AQ9">
            <v>4.6996399261015078</v>
          </cell>
        </row>
        <row r="10">
          <cell r="AN10" t="e">
            <v>#DIV/0!</v>
          </cell>
          <cell r="AQ10" t="e">
            <v>#DIV/0!</v>
          </cell>
        </row>
        <row r="11">
          <cell r="G11">
            <v>7.381724949596177</v>
          </cell>
          <cell r="M11">
            <v>9.9815657271524962</v>
          </cell>
          <cell r="O11">
            <v>7.0706234224080085</v>
          </cell>
          <cell r="P11">
            <v>5.3375594345804807</v>
          </cell>
          <cell r="Q11">
            <v>9.6164694746805441</v>
          </cell>
          <cell r="U11">
            <v>10.794727165588585</v>
          </cell>
          <cell r="X11">
            <v>5.999833766727205</v>
          </cell>
          <cell r="AB11">
            <v>13.06088014825878</v>
          </cell>
          <cell r="AC11">
            <v>7.0319034322981837</v>
          </cell>
          <cell r="AD11">
            <v>9.2699935674307596</v>
          </cell>
          <cell r="AE11">
            <v>8.8659913843287903</v>
          </cell>
          <cell r="AH11">
            <v>4.6778291903430329</v>
          </cell>
          <cell r="AN11" t="e">
            <v>#DIV/0!</v>
          </cell>
          <cell r="AQ11">
            <v>6.2003723782925313</v>
          </cell>
        </row>
        <row r="12">
          <cell r="AN12">
            <v>8.8323372415652379</v>
          </cell>
          <cell r="AQ12">
            <v>8.2260188524748212</v>
          </cell>
        </row>
        <row r="13">
          <cell r="I13">
            <v>198.79999999999998</v>
          </cell>
          <cell r="J13">
            <v>201.5</v>
          </cell>
          <cell r="P13">
            <v>109.19999999999999</v>
          </cell>
          <cell r="T13">
            <v>196.39999999999998</v>
          </cell>
          <cell r="V13">
            <v>200.5</v>
          </cell>
          <cell r="W13">
            <v>196.39999999999998</v>
          </cell>
          <cell r="AB13">
            <v>394.9</v>
          </cell>
          <cell r="AF13">
            <v>191.3</v>
          </cell>
          <cell r="AH13">
            <v>213.5</v>
          </cell>
        </row>
        <row r="17">
          <cell r="I17">
            <v>182.7</v>
          </cell>
          <cell r="J17">
            <v>184.70000000000002</v>
          </cell>
          <cell r="P17">
            <v>95.4</v>
          </cell>
          <cell r="T17">
            <v>173.9</v>
          </cell>
          <cell r="V17">
            <v>176.1</v>
          </cell>
          <cell r="W17">
            <v>182.6</v>
          </cell>
          <cell r="AB17">
            <v>383</v>
          </cell>
          <cell r="AF17">
            <v>180</v>
          </cell>
          <cell r="AH17">
            <v>186</v>
          </cell>
        </row>
        <row r="21">
          <cell r="I21">
            <v>8.7602816901408538</v>
          </cell>
          <cell r="J21">
            <v>10.084808731968526</v>
          </cell>
          <cell r="P21">
            <v>13.268899774923854</v>
          </cell>
          <cell r="T21">
            <v>12.236645843124954</v>
          </cell>
          <cell r="V21">
            <v>13.724096837552141</v>
          </cell>
          <cell r="W21">
            <v>8.2868831957694677</v>
          </cell>
          <cell r="AB21">
            <v>3.0919527620890888</v>
          </cell>
          <cell r="AF21">
            <v>6.591542105856993</v>
          </cell>
          <cell r="AH21">
            <v>13.444441918100992</v>
          </cell>
        </row>
        <row r="23">
          <cell r="H23">
            <v>208.8</v>
          </cell>
          <cell r="W23">
            <v>426.30000000000007</v>
          </cell>
        </row>
        <row r="28">
          <cell r="H28">
            <v>197.3</v>
          </cell>
          <cell r="W28">
            <v>384.6</v>
          </cell>
        </row>
        <row r="32">
          <cell r="H32">
            <v>8.3720217865482667</v>
          </cell>
          <cell r="W32">
            <v>14.770304158859599</v>
          </cell>
        </row>
        <row r="55">
          <cell r="H55">
            <v>202.10000000000002</v>
          </cell>
          <cell r="N55">
            <v>206.1</v>
          </cell>
        </row>
        <row r="59">
          <cell r="H59">
            <v>195.6</v>
          </cell>
          <cell r="N59">
            <v>200.1</v>
          </cell>
        </row>
        <row r="63">
          <cell r="H63">
            <v>5.2379580553094636</v>
          </cell>
          <cell r="N63">
            <v>4.5735095634511769</v>
          </cell>
        </row>
        <row r="65">
          <cell r="AE65">
            <v>195.2</v>
          </cell>
        </row>
        <row r="70">
          <cell r="AE70">
            <v>182.9</v>
          </cell>
        </row>
        <row r="74">
          <cell r="AE74">
            <v>9.2204897908965187</v>
          </cell>
        </row>
      </sheetData>
      <sheetData sheetId="3">
        <row r="3">
          <cell r="D3">
            <v>206.3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Hurricane Reef"/>
      <sheetName val="APA"/>
      <sheetName val="CARIBE"/>
      <sheetName val="YTD 2025"/>
      <sheetName val="MTD"/>
    </sheetNames>
    <sheetDataSet>
      <sheetData sheetId="0">
        <row r="6">
          <cell r="L6">
            <v>101.2</v>
          </cell>
        </row>
        <row r="7">
          <cell r="L7">
            <v>96.3</v>
          </cell>
        </row>
        <row r="8">
          <cell r="L8">
            <v>0</v>
          </cell>
        </row>
        <row r="9">
          <cell r="L9">
            <v>100</v>
          </cell>
        </row>
        <row r="10">
          <cell r="L10">
            <v>0</v>
          </cell>
        </row>
        <row r="11">
          <cell r="L11">
            <v>100</v>
          </cell>
        </row>
        <row r="12">
          <cell r="L12">
            <v>0</v>
          </cell>
        </row>
        <row r="13">
          <cell r="L13">
            <v>95.4</v>
          </cell>
        </row>
        <row r="14">
          <cell r="L14">
            <v>0</v>
          </cell>
        </row>
        <row r="16">
          <cell r="L16">
            <v>100</v>
          </cell>
        </row>
        <row r="17">
          <cell r="L17">
            <v>0</v>
          </cell>
        </row>
        <row r="18">
          <cell r="L18">
            <v>100</v>
          </cell>
        </row>
        <row r="19">
          <cell r="L19">
            <v>0</v>
          </cell>
        </row>
        <row r="20">
          <cell r="L20">
            <v>100</v>
          </cell>
        </row>
        <row r="21">
          <cell r="L21">
            <v>0</v>
          </cell>
        </row>
        <row r="22">
          <cell r="L22">
            <v>92.69</v>
          </cell>
        </row>
        <row r="23">
          <cell r="L23">
            <v>0</v>
          </cell>
        </row>
        <row r="24">
          <cell r="L24">
            <v>100</v>
          </cell>
        </row>
        <row r="25">
          <cell r="L25">
            <v>0</v>
          </cell>
        </row>
        <row r="26">
          <cell r="L26">
            <v>83.2</v>
          </cell>
        </row>
        <row r="27">
          <cell r="L27">
            <v>0</v>
          </cell>
        </row>
        <row r="29">
          <cell r="L29">
            <v>100</v>
          </cell>
        </row>
        <row r="30">
          <cell r="L30">
            <v>0</v>
          </cell>
        </row>
        <row r="31">
          <cell r="L31">
            <v>89.5</v>
          </cell>
        </row>
        <row r="32">
          <cell r="L32">
            <v>0</v>
          </cell>
        </row>
        <row r="33">
          <cell r="L33">
            <v>100.3</v>
          </cell>
        </row>
        <row r="34">
          <cell r="L34">
            <v>0</v>
          </cell>
        </row>
        <row r="35">
          <cell r="L35">
            <v>101</v>
          </cell>
        </row>
        <row r="36">
          <cell r="L36">
            <v>0</v>
          </cell>
        </row>
      </sheetData>
      <sheetData sheetId="1">
        <row r="21">
          <cell r="L21">
            <v>100</v>
          </cell>
        </row>
        <row r="22">
          <cell r="L22">
            <v>0</v>
          </cell>
        </row>
        <row r="25">
          <cell r="L25">
            <v>100</v>
          </cell>
        </row>
        <row r="26">
          <cell r="L26">
            <v>0</v>
          </cell>
        </row>
        <row r="28">
          <cell r="L28">
            <v>100.9</v>
          </cell>
          <cell r="S28">
            <v>9.6999999999999993</v>
          </cell>
        </row>
        <row r="29">
          <cell r="L29">
            <v>0</v>
          </cell>
        </row>
        <row r="30">
          <cell r="L30">
            <v>102</v>
          </cell>
        </row>
        <row r="31">
          <cell r="L31">
            <v>0</v>
          </cell>
        </row>
        <row r="32">
          <cell r="L32">
            <v>101.6</v>
          </cell>
        </row>
        <row r="33">
          <cell r="L33">
            <v>0</v>
          </cell>
        </row>
        <row r="34">
          <cell r="L34">
            <v>101.5</v>
          </cell>
        </row>
        <row r="35">
          <cell r="L35">
            <v>0</v>
          </cell>
        </row>
      </sheetData>
      <sheetData sheetId="2">
        <row r="6">
          <cell r="L6">
            <v>100</v>
          </cell>
        </row>
        <row r="7">
          <cell r="L7">
            <v>0</v>
          </cell>
        </row>
        <row r="8">
          <cell r="L8">
            <v>100</v>
          </cell>
        </row>
        <row r="9">
          <cell r="L9">
            <v>0</v>
          </cell>
        </row>
        <row r="10">
          <cell r="L10">
            <v>100</v>
          </cell>
        </row>
        <row r="11">
          <cell r="L11">
            <v>0</v>
          </cell>
        </row>
        <row r="12">
          <cell r="L12">
            <v>96</v>
          </cell>
        </row>
        <row r="13">
          <cell r="L13">
            <v>0</v>
          </cell>
        </row>
        <row r="14">
          <cell r="L14">
            <v>399.3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103.4</v>
          </cell>
        </row>
        <row r="23">
          <cell r="L23">
            <v>0</v>
          </cell>
        </row>
        <row r="24">
          <cell r="L24">
            <v>100</v>
          </cell>
        </row>
        <row r="25">
          <cell r="L25">
            <v>0</v>
          </cell>
        </row>
        <row r="26">
          <cell r="L26">
            <v>109.9</v>
          </cell>
        </row>
        <row r="27">
          <cell r="L27">
            <v>0</v>
          </cell>
        </row>
        <row r="28">
          <cell r="L28">
            <v>101.06</v>
          </cell>
        </row>
        <row r="29">
          <cell r="L29">
            <v>0</v>
          </cell>
        </row>
        <row r="30">
          <cell r="L30">
            <v>100</v>
          </cell>
        </row>
        <row r="31">
          <cell r="L31">
            <v>0</v>
          </cell>
        </row>
        <row r="32">
          <cell r="L32">
            <v>97.3</v>
          </cell>
        </row>
        <row r="33">
          <cell r="L33">
            <v>0</v>
          </cell>
        </row>
        <row r="34">
          <cell r="L34">
            <v>100</v>
          </cell>
        </row>
        <row r="35">
          <cell r="L35">
            <v>0</v>
          </cell>
        </row>
        <row r="36">
          <cell r="L36">
            <v>99.19</v>
          </cell>
        </row>
        <row r="37">
          <cell r="L37">
            <v>0</v>
          </cell>
        </row>
        <row r="38">
          <cell r="L38">
            <v>394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0</v>
          </cell>
        </row>
        <row r="52">
          <cell r="L52">
            <v>100</v>
          </cell>
        </row>
        <row r="53">
          <cell r="L53">
            <v>0</v>
          </cell>
        </row>
        <row r="54">
          <cell r="L54">
            <v>100</v>
          </cell>
        </row>
        <row r="55">
          <cell r="L55">
            <v>0</v>
          </cell>
        </row>
        <row r="56">
          <cell r="L56">
            <v>100</v>
          </cell>
        </row>
        <row r="57">
          <cell r="L57">
            <v>0</v>
          </cell>
        </row>
        <row r="58">
          <cell r="L58">
            <v>32.4</v>
          </cell>
        </row>
      </sheetData>
      <sheetData sheetId="3">
        <row r="6">
          <cell r="J6">
            <v>4.0999999999999996</v>
          </cell>
        </row>
        <row r="8">
          <cell r="J8">
            <v>4.0999999999999996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E5">
            <v>7.1765183672014174</v>
          </cell>
        </row>
        <row r="6">
          <cell r="E6">
            <v>7.3098189687373392</v>
          </cell>
        </row>
        <row r="7">
          <cell r="E7">
            <v>12.42603550295857</v>
          </cell>
        </row>
        <row r="8">
          <cell r="E8">
            <v>5.3032814053695727</v>
          </cell>
        </row>
        <row r="9">
          <cell r="E9" t="e">
            <v>#DIV/0!</v>
          </cell>
        </row>
        <row r="10">
          <cell r="E10">
            <v>8.7664670658682695</v>
          </cell>
        </row>
        <row r="11">
          <cell r="E11">
            <v>2.5618217399039276</v>
          </cell>
        </row>
        <row r="12">
          <cell r="E12" t="e">
            <v>#DIV/0!</v>
          </cell>
        </row>
        <row r="13">
          <cell r="E13">
            <v>4.8792508624938291</v>
          </cell>
        </row>
        <row r="14">
          <cell r="E14">
            <v>7.3212989562852382</v>
          </cell>
        </row>
      </sheetData>
      <sheetData sheetId="11">
        <row r="5">
          <cell r="E5">
            <v>7.501429586373014</v>
          </cell>
        </row>
        <row r="6">
          <cell r="E6">
            <v>8.3101182654402397</v>
          </cell>
        </row>
        <row r="7">
          <cell r="E7">
            <v>10.311344019728741</v>
          </cell>
        </row>
        <row r="8">
          <cell r="E8">
            <v>10.078662733529978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3.0622243998040313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7.7893462436116403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>
        <row r="13">
          <cell r="AN13">
            <v>0.66893633221568671</v>
          </cell>
          <cell r="AQ13">
            <v>0.77968155451799681</v>
          </cell>
        </row>
        <row r="14">
          <cell r="AN14">
            <v>0.73355232285312055</v>
          </cell>
          <cell r="AQ14">
            <v>0.71734920760465315</v>
          </cell>
        </row>
        <row r="15">
          <cell r="AN15">
            <v>0.54249999999999998</v>
          </cell>
          <cell r="AQ15">
            <v>0.52401498127340829</v>
          </cell>
        </row>
        <row r="16">
          <cell r="AN16">
            <v>0.6417543859649123</v>
          </cell>
          <cell r="AQ16">
            <v>0.75184210526315787</v>
          </cell>
        </row>
        <row r="17">
          <cell r="AN17" t="e">
            <v>#DIV/0!</v>
          </cell>
          <cell r="AQ17" t="e">
            <v>#DIV/0!</v>
          </cell>
        </row>
        <row r="18">
          <cell r="G18">
            <v>0.93775000000000008</v>
          </cell>
          <cell r="M18">
            <v>0.46387500000000004</v>
          </cell>
          <cell r="O18">
            <v>0.93666666666666665</v>
          </cell>
          <cell r="P18">
            <v>0.50526315789473686</v>
          </cell>
          <cell r="Q18">
            <v>0.96650000000000003</v>
          </cell>
          <cell r="U18">
            <v>0.3066666666666667</v>
          </cell>
          <cell r="X18">
            <v>0.86050000000000015</v>
          </cell>
          <cell r="AB18">
            <v>0.42833333333333334</v>
          </cell>
          <cell r="AC18">
            <v>0.55859649122807009</v>
          </cell>
          <cell r="AD18">
            <v>0.25873684210526321</v>
          </cell>
          <cell r="AE18">
            <v>0.65263157894736845</v>
          </cell>
          <cell r="AH18">
            <v>1.3550877192982458</v>
          </cell>
          <cell r="AN18" t="e">
            <v>#DIV/0!</v>
          </cell>
          <cell r="AQ18">
            <v>0.66824561403508764</v>
          </cell>
        </row>
        <row r="19">
          <cell r="AN19">
            <v>0.98924999999999996</v>
          </cell>
          <cell r="AQ19">
            <v>0.86251968503937015</v>
          </cell>
        </row>
        <row r="20">
          <cell r="AN20" t="e">
            <v>#DIV/0!</v>
          </cell>
          <cell r="AQ20" t="e">
            <v>#DIV/0!</v>
          </cell>
        </row>
        <row r="21">
          <cell r="AN21" t="e">
            <v>#DIV/0!</v>
          </cell>
          <cell r="AQ21">
            <v>0.33859649122807017</v>
          </cell>
        </row>
        <row r="22">
          <cell r="AN22">
            <v>0.69371494893221897</v>
          </cell>
          <cell r="AQ22">
            <v>0.73297341057635168</v>
          </cell>
        </row>
        <row r="25">
          <cell r="I25">
            <v>0.91349999999999998</v>
          </cell>
          <cell r="J25">
            <v>0.46175000000000005</v>
          </cell>
          <cell r="P25">
            <v>0.50526315789473675</v>
          </cell>
          <cell r="T25">
            <v>0.86950000000000005</v>
          </cell>
          <cell r="V25">
            <v>0.88049999999999995</v>
          </cell>
          <cell r="W25">
            <v>0.91299999999999992</v>
          </cell>
          <cell r="AB25">
            <v>0.95750000000000002</v>
          </cell>
          <cell r="AF25">
            <v>0.31578947368421051</v>
          </cell>
          <cell r="AH25">
            <v>0.65263157894736845</v>
          </cell>
        </row>
        <row r="32">
          <cell r="H32">
            <v>0.98650000000000004</v>
          </cell>
          <cell r="W32">
            <v>0.32050000000000006</v>
          </cell>
        </row>
        <row r="53">
          <cell r="H53">
            <v>0.97799999999999998</v>
          </cell>
          <cell r="N53">
            <v>1.0004999999999999</v>
          </cell>
        </row>
        <row r="60">
          <cell r="AE60">
            <v>0.6417543859649123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25.33203125" style="275" customWidth="1"/>
    <col min="11" max="11" width="18.55468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52">
        <v>45278</v>
      </c>
      <c r="D4" s="452"/>
      <c r="J4" s="453" t="s">
        <v>153</v>
      </c>
      <c r="K4" s="453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54"/>
      <c r="K5" s="45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61" t="s">
        <v>151</v>
      </c>
      <c r="K6" s="462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463"/>
      <c r="K7" s="464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152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/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4.4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4.4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4.4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4.4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4.4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4.4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4.4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4.4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4.4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4.4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4.4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4.4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4.4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4.4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4.4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4.4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4.4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481" t="s">
        <v>34</v>
      </c>
      <c r="J48" s="481"/>
      <c r="K48" s="481"/>
      <c r="L48" s="481"/>
      <c r="M48" s="481"/>
      <c r="N48" s="481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28.2" thickBot="1">
      <c r="B49" s="388" t="s">
        <v>145</v>
      </c>
      <c r="C49" s="388"/>
      <c r="D49" s="459" t="s">
        <v>35</v>
      </c>
      <c r="E49" s="460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482" t="s">
        <v>9</v>
      </c>
      <c r="C50" s="362">
        <v>11.8</v>
      </c>
      <c r="D50" s="485">
        <v>11.73</v>
      </c>
      <c r="E50" s="486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483"/>
      <c r="C51" s="349">
        <v>11.9</v>
      </c>
      <c r="D51" s="487"/>
      <c r="E51" s="488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7" customHeight="1">
      <c r="A52" s="28"/>
      <c r="B52" s="483"/>
      <c r="C52" s="349"/>
      <c r="D52" s="485"/>
      <c r="E52" s="486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7" customHeight="1">
      <c r="A53" s="28"/>
      <c r="B53" s="483"/>
      <c r="C53" s="349"/>
      <c r="D53" s="487"/>
      <c r="E53" s="488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483"/>
      <c r="C54" s="349"/>
      <c r="D54" s="485"/>
      <c r="E54" s="486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7" customHeight="1">
      <c r="A55" s="28"/>
      <c r="B55" s="483"/>
      <c r="C55" s="349"/>
      <c r="D55" s="487"/>
      <c r="E55" s="488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483"/>
      <c r="C56" s="349"/>
      <c r="D56" s="485"/>
      <c r="E56" s="486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7" customHeight="1">
      <c r="A57" s="28"/>
      <c r="B57" s="483"/>
      <c r="C57" s="349"/>
      <c r="D57" s="487"/>
      <c r="E57" s="488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483"/>
      <c r="C58" s="349"/>
      <c r="D58" s="489"/>
      <c r="E58" s="490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483"/>
      <c r="C59" s="349"/>
      <c r="D59" s="491"/>
      <c r="E59" s="492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483"/>
      <c r="C60" s="349"/>
      <c r="D60" s="489"/>
      <c r="E60" s="490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484"/>
      <c r="C61" s="350"/>
      <c r="D61" s="493"/>
      <c r="E61" s="494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" thickBot="1">
      <c r="B62" s="495"/>
      <c r="C62" s="362"/>
      <c r="D62" s="498"/>
      <c r="E62" s="499"/>
      <c r="F62" s="43"/>
      <c r="G62" s="41"/>
      <c r="H62" s="41"/>
      <c r="I62" s="42"/>
      <c r="J62" s="501" t="s">
        <v>129</v>
      </c>
      <c r="K62" s="501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496"/>
      <c r="C63" s="349"/>
      <c r="D63" s="500"/>
      <c r="E63" s="488"/>
      <c r="F63" s="43"/>
      <c r="G63" s="41"/>
      <c r="H63" s="41"/>
      <c r="I63" s="42"/>
      <c r="J63" s="292" t="s">
        <v>17</v>
      </c>
      <c r="K63" s="293" t="s">
        <v>147</v>
      </c>
      <c r="L63" s="502" t="s">
        <v>136</v>
      </c>
      <c r="M63" s="502"/>
      <c r="N63" s="503"/>
      <c r="O63" s="294"/>
      <c r="P63" s="12"/>
      <c r="S63" s="23"/>
    </row>
    <row r="64" spans="1:27" ht="15" customHeight="1" thickBot="1">
      <c r="B64" s="496"/>
      <c r="C64" s="349"/>
      <c r="D64" s="504"/>
      <c r="E64" s="486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496"/>
      <c r="C65" s="349"/>
      <c r="D65" s="500"/>
      <c r="E65" s="488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496"/>
      <c r="C66" s="349"/>
      <c r="D66" s="504"/>
      <c r="E66" s="486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496"/>
      <c r="C67" s="349"/>
      <c r="D67" s="500"/>
      <c r="E67" s="488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4.4">
      <c r="B68" s="496"/>
      <c r="C68" s="349"/>
      <c r="D68" s="504"/>
      <c r="E68" s="486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4.4">
      <c r="B69" s="496"/>
      <c r="C69" s="349"/>
      <c r="D69" s="500"/>
      <c r="E69" s="488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4.4">
      <c r="B70" s="496"/>
      <c r="C70" s="349"/>
      <c r="D70" s="505"/>
      <c r="E70" s="490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" thickBot="1">
      <c r="B71" s="497"/>
      <c r="C71" s="350"/>
      <c r="D71" s="506"/>
      <c r="E71" s="507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7" customHeight="1" thickBot="1">
      <c r="B72" s="312" t="s">
        <v>139</v>
      </c>
      <c r="C72" s="313"/>
      <c r="D72" s="508">
        <f>AVERAGE(D50:E71)</f>
        <v>11.73</v>
      </c>
      <c r="E72" s="509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7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10" t="s">
        <v>17</v>
      </c>
      <c r="C77" s="510" t="s">
        <v>44</v>
      </c>
      <c r="D77" s="512" t="s">
        <v>45</v>
      </c>
      <c r="E77" s="467" t="s">
        <v>46</v>
      </c>
      <c r="F77" s="527" t="s">
        <v>47</v>
      </c>
      <c r="G77" s="521" t="s">
        <v>48</v>
      </c>
      <c r="H77" s="510" t="s">
        <v>49</v>
      </c>
      <c r="I77" s="523" t="s">
        <v>50</v>
      </c>
      <c r="J77" s="515" t="s">
        <v>28</v>
      </c>
      <c r="K77" s="465" t="s">
        <v>51</v>
      </c>
      <c r="L77" s="477" t="s">
        <v>52</v>
      </c>
      <c r="M77" s="515" t="s">
        <v>53</v>
      </c>
      <c r="N77" s="77"/>
      <c r="O77" s="13"/>
      <c r="P77" s="50"/>
    </row>
    <row r="78" spans="2:58" ht="28.5" customHeight="1" thickTop="1" thickBot="1">
      <c r="B78" s="511"/>
      <c r="C78" s="511"/>
      <c r="D78" s="513"/>
      <c r="E78" s="514"/>
      <c r="F78" s="528"/>
      <c r="G78" s="522"/>
      <c r="H78" s="511"/>
      <c r="I78" s="524"/>
      <c r="J78" s="516"/>
      <c r="K78" s="525"/>
      <c r="L78" s="526"/>
      <c r="M78" s="516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4.4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517" t="s">
        <v>55</v>
      </c>
      <c r="C87" s="518"/>
      <c r="D87" s="518"/>
      <c r="E87" s="518"/>
      <c r="F87" s="519"/>
      <c r="G87" s="517" t="s">
        <v>56</v>
      </c>
      <c r="H87" s="518"/>
      <c r="I87" s="518"/>
      <c r="J87" s="519"/>
      <c r="K87" s="517" t="s">
        <v>51</v>
      </c>
      <c r="L87" s="518"/>
      <c r="M87" s="518"/>
      <c r="N87" s="520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3379" priority="157" operator="notBetween">
      <formula>#REF!</formula>
      <formula>#REF!</formula>
    </cfRule>
  </conditionalFormatting>
  <conditionalFormatting sqref="C76">
    <cfRule type="cellIs" dxfId="3378" priority="190" stopIfTrue="1" operator="greaterThan">
      <formula>100</formula>
    </cfRule>
    <cfRule type="cellIs" dxfId="3377" priority="189" stopIfTrue="1" operator="lessThan">
      <formula>96</formula>
    </cfRule>
  </conditionalFormatting>
  <conditionalFormatting sqref="C90">
    <cfRule type="cellIs" dxfId="3376" priority="212" stopIfTrue="1" operator="greaterThan">
      <formula>$F89</formula>
    </cfRule>
    <cfRule type="cellIs" dxfId="3375" priority="106" stopIfTrue="1" operator="lessThanOrEqual">
      <formula>0</formula>
    </cfRule>
  </conditionalFormatting>
  <conditionalFormatting sqref="C91:C93">
    <cfRule type="cellIs" dxfId="3374" priority="105" stopIfTrue="1" operator="greaterThan">
      <formula>$F91</formula>
    </cfRule>
  </conditionalFormatting>
  <conditionalFormatting sqref="C91:C94">
    <cfRule type="cellIs" dxfId="3373" priority="129" stopIfTrue="1" operator="lessThanOrEqual">
      <formula>0</formula>
    </cfRule>
  </conditionalFormatting>
  <conditionalFormatting sqref="C94">
    <cfRule type="cellIs" dxfId="3372" priority="128" stopIfTrue="1" operator="greaterThan">
      <formula>$J94</formula>
    </cfRule>
  </conditionalFormatting>
  <conditionalFormatting sqref="C95:C97">
    <cfRule type="cellIs" dxfId="3371" priority="145" stopIfTrue="1" operator="greaterThan">
      <formula>$F95</formula>
    </cfRule>
    <cfRule type="cellIs" dxfId="3370" priority="146" stopIfTrue="1" operator="lessThanOrEqual">
      <formula>0</formula>
    </cfRule>
  </conditionalFormatting>
  <conditionalFormatting sqref="C100:C104">
    <cfRule type="cellIs" dxfId="3369" priority="181" stopIfTrue="1" operator="lessThanOrEqual">
      <formula>0</formula>
    </cfRule>
  </conditionalFormatting>
  <conditionalFormatting sqref="C101:C104">
    <cfRule type="cellIs" dxfId="3368" priority="180" stopIfTrue="1" operator="greaterThan">
      <formula>$F$100</formula>
    </cfRule>
  </conditionalFormatting>
  <conditionalFormatting sqref="C106">
    <cfRule type="cellIs" dxfId="3367" priority="183" stopIfTrue="1" operator="lessThanOrEqual">
      <formula>0</formula>
    </cfRule>
    <cfRule type="cellIs" dxfId="3366" priority="182" stopIfTrue="1" operator="greaterThan">
      <formula>$F$100</formula>
    </cfRule>
  </conditionalFormatting>
  <conditionalFormatting sqref="C100:D100 D102:D108">
    <cfRule type="cellIs" dxfId="3365" priority="175" stopIfTrue="1" operator="greaterThan">
      <formula>4.5</formula>
    </cfRule>
  </conditionalFormatting>
  <conditionalFormatting sqref="D72:D73">
    <cfRule type="cellIs" dxfId="3364" priority="158" operator="notBetween">
      <formula>#REF!</formula>
      <formula>#REF!</formula>
    </cfRule>
  </conditionalFormatting>
  <conditionalFormatting sqref="D89:D96">
    <cfRule type="cellIs" dxfId="3363" priority="144" stopIfTrue="1" operator="lessThanOrEqual">
      <formula>0</formula>
    </cfRule>
  </conditionalFormatting>
  <conditionalFormatting sqref="D97">
    <cfRule type="cellIs" dxfId="3362" priority="143" stopIfTrue="1" operator="lessThanOrEqual">
      <formula>0</formula>
    </cfRule>
  </conditionalFormatting>
  <conditionalFormatting sqref="D100 D102:D108">
    <cfRule type="cellIs" dxfId="3361" priority="176" stopIfTrue="1" operator="lessThanOrEqual">
      <formula>0</formula>
    </cfRule>
  </conditionalFormatting>
  <conditionalFormatting sqref="D101">
    <cfRule type="cellIs" dxfId="3360" priority="167" stopIfTrue="1" operator="greaterThan">
      <formula>$F$100</formula>
    </cfRule>
    <cfRule type="cellIs" dxfId="3359" priority="168" stopIfTrue="1" operator="lessThanOrEqual">
      <formula>0</formula>
    </cfRule>
  </conditionalFormatting>
  <conditionalFormatting sqref="D89:E97">
    <cfRule type="cellIs" dxfId="3358" priority="135" stopIfTrue="1" operator="greaterThan">
      <formula>$F89</formula>
    </cfRule>
  </conditionalFormatting>
  <conditionalFormatting sqref="E10:E14">
    <cfRule type="cellIs" dxfId="3357" priority="52" operator="lessThan">
      <formula>48</formula>
    </cfRule>
  </conditionalFormatting>
  <conditionalFormatting sqref="E33:E46">
    <cfRule type="cellIs" dxfId="3356" priority="25" operator="lessThan">
      <formula>48</formula>
    </cfRule>
  </conditionalFormatting>
  <conditionalFormatting sqref="E76">
    <cfRule type="cellIs" dxfId="3355" priority="169" stopIfTrue="1" operator="lessThan">
      <formula>96.8</formula>
    </cfRule>
    <cfRule type="cellIs" dxfId="3354" priority="170" stopIfTrue="1" operator="greaterThan">
      <formula>100</formula>
    </cfRule>
  </conditionalFormatting>
  <conditionalFormatting sqref="E89:E97">
    <cfRule type="cellIs" dxfId="3353" priority="136" stopIfTrue="1" operator="lessThanOrEqual">
      <formula>0</formula>
    </cfRule>
  </conditionalFormatting>
  <conditionalFormatting sqref="E100:E108">
    <cfRule type="cellIs" dxfId="3352" priority="162" stopIfTrue="1" operator="lessThanOrEqual">
      <formula>0</formula>
    </cfRule>
    <cfRule type="cellIs" dxfId="3351" priority="161" stopIfTrue="1" operator="greaterThan">
      <formula>4.5</formula>
    </cfRule>
  </conditionalFormatting>
  <conditionalFormatting sqref="E75:F76">
    <cfRule type="cellIs" dxfId="3350" priority="171" stopIfTrue="1" operator="lessThan">
      <formula>96.5</formula>
    </cfRule>
    <cfRule type="cellIs" dxfId="3349" priority="172" stopIfTrue="1" operator="greaterThan">
      <formula>100</formula>
    </cfRule>
  </conditionalFormatting>
  <conditionalFormatting sqref="F10:F12">
    <cfRule type="cellIs" dxfId="3348" priority="62" operator="greaterThan">
      <formula>#REF!</formula>
    </cfRule>
  </conditionalFormatting>
  <conditionalFormatting sqref="F10:F47">
    <cfRule type="cellIs" dxfId="3347" priority="15" operator="greaterThan">
      <formula>$AA10</formula>
    </cfRule>
  </conditionalFormatting>
  <conditionalFormatting sqref="F13">
    <cfRule type="cellIs" dxfId="3346" priority="53" operator="greaterThan">
      <formula>$AA47</formula>
    </cfRule>
  </conditionalFormatting>
  <conditionalFormatting sqref="F14">
    <cfRule type="cellIs" dxfId="3345" priority="196" operator="greaterThan">
      <formula>#REF!</formula>
    </cfRule>
  </conditionalFormatting>
  <conditionalFormatting sqref="F33:F46">
    <cfRule type="cellIs" dxfId="3344" priority="26" operator="greaterThan">
      <formula>$AA48</formula>
    </cfRule>
  </conditionalFormatting>
  <conditionalFormatting sqref="F76">
    <cfRule type="cellIs" dxfId="3343" priority="187" stopIfTrue="1" operator="lessThan">
      <formula>96.8</formula>
    </cfRule>
    <cfRule type="cellIs" dxfId="3342" priority="188" stopIfTrue="1" operator="greaterThan">
      <formula>100</formula>
    </cfRule>
  </conditionalFormatting>
  <conditionalFormatting sqref="F97">
    <cfRule type="cellIs" dxfId="3341" priority="137" stopIfTrue="1" operator="greaterThan">
      <formula>$F97</formula>
    </cfRule>
    <cfRule type="cellIs" dxfId="3340" priority="138" stopIfTrue="1" operator="lessThanOrEqual">
      <formula>0</formula>
    </cfRule>
  </conditionalFormatting>
  <conditionalFormatting sqref="G10:G14">
    <cfRule type="expression" dxfId="3339" priority="54">
      <formula>IF(+(IF(G10&lt;#REF!,0,IF(G10&gt;#REF!,0,1)))=0,1)</formula>
    </cfRule>
  </conditionalFormatting>
  <conditionalFormatting sqref="G33:G46">
    <cfRule type="expression" dxfId="3338" priority="27">
      <formula>IF(+(IF(G33&lt;#REF!,0,IF(G33&gt;#REF!,0,1)))=0,1)</formula>
    </cfRule>
  </conditionalFormatting>
  <conditionalFormatting sqref="G90">
    <cfRule type="cellIs" dxfId="3337" priority="71" stopIfTrue="1" operator="lessThanOrEqual">
      <formula>0</formula>
    </cfRule>
    <cfRule type="cellIs" dxfId="3336" priority="70" stopIfTrue="1" operator="greaterThan">
      <formula>$F89</formula>
    </cfRule>
  </conditionalFormatting>
  <conditionalFormatting sqref="G90:G91">
    <cfRule type="cellIs" dxfId="3335" priority="191" stopIfTrue="1" operator="greaterThan">
      <formula>$F89</formula>
    </cfRule>
    <cfRule type="cellIs" dxfId="3334" priority="192" stopIfTrue="1" operator="lessThanOrEqual">
      <formula>0</formula>
    </cfRule>
  </conditionalFormatting>
  <conditionalFormatting sqref="G92">
    <cfRule type="cellIs" dxfId="3333" priority="140" stopIfTrue="1" operator="lessThanOrEqual">
      <formula>0</formula>
    </cfRule>
    <cfRule type="cellIs" dxfId="3332" priority="139" stopIfTrue="1" operator="greaterThan">
      <formula>$F92</formula>
    </cfRule>
  </conditionalFormatting>
  <conditionalFormatting sqref="G93:G96">
    <cfRule type="cellIs" dxfId="3331" priority="149" stopIfTrue="1" operator="lessThanOrEqual">
      <formula>0</formula>
    </cfRule>
    <cfRule type="cellIs" dxfId="3330" priority="148" stopIfTrue="1" operator="greaterThan">
      <formula>$J93</formula>
    </cfRule>
  </conditionalFormatting>
  <conditionalFormatting sqref="G97">
    <cfRule type="cellIs" dxfId="3329" priority="147" operator="greaterThan">
      <formula>4.5</formula>
    </cfRule>
  </conditionalFormatting>
  <conditionalFormatting sqref="G102:G107 C105 C107">
    <cfRule type="cellIs" dxfId="3328" priority="185" stopIfTrue="1" operator="lessThanOrEqual">
      <formula>0</formula>
    </cfRule>
    <cfRule type="cellIs" dxfId="3327" priority="184" stopIfTrue="1" operator="greaterThan">
      <formula>4.5</formula>
    </cfRule>
  </conditionalFormatting>
  <conditionalFormatting sqref="G62:H62 G63:G73 H63:H74">
    <cfRule type="cellIs" dxfId="3326" priority="163" stopIfTrue="1" operator="greaterThan">
      <formula>0</formula>
    </cfRule>
  </conditionalFormatting>
  <conditionalFormatting sqref="G101:H101">
    <cfRule type="cellIs" dxfId="3325" priority="166" stopIfTrue="1" operator="lessThanOrEqual">
      <formula>0</formula>
    </cfRule>
    <cfRule type="cellIs" dxfId="3324" priority="165" stopIfTrue="1" operator="greaterThan">
      <formula>$F$100</formula>
    </cfRule>
  </conditionalFormatting>
  <conditionalFormatting sqref="H10">
    <cfRule type="expression" dxfId="3323" priority="63">
      <formula>IF(+(IF(H10&lt;T27,0,IF(H10&gt;U27,0,1)))=0,1)</formula>
    </cfRule>
  </conditionalFormatting>
  <conditionalFormatting sqref="H10:H12">
    <cfRule type="expression" dxfId="3322" priority="64">
      <formula>IF(+(IF(H10&lt;#REF!,0,IF(H10&gt;#REF!,0,1)))=0,1)</formula>
    </cfRule>
  </conditionalFormatting>
  <conditionalFormatting sqref="H11:H12">
    <cfRule type="expression" dxfId="3321" priority="207">
      <formula>IF(+(IF(H11&lt;T47,0,IF(H11&gt;U47,0,1)))=0,1)</formula>
    </cfRule>
  </conditionalFormatting>
  <conditionalFormatting sqref="H13">
    <cfRule type="expression" dxfId="3320" priority="56">
      <formula>IF(+(IF(H13&lt;T47,0,IF(H13&gt;U47,0,1)))=0,1)</formula>
    </cfRule>
    <cfRule type="expression" dxfId="3319" priority="55">
      <formula>IF(+(IF(H13&lt;T56,0,IF(H13&gt;U56,0,1)))=0,1)</formula>
    </cfRule>
  </conditionalFormatting>
  <conditionalFormatting sqref="H14">
    <cfRule type="expression" dxfId="3318" priority="197">
      <formula>IF(+(IF(H14&lt;T50,0,IF(H14&gt;U50,0,1)))=0,1)</formula>
    </cfRule>
    <cfRule type="expression" dxfId="3317" priority="198">
      <formula>IF(+(IF(H14&lt;#REF!,0,IF(H14&gt;#REF!,0,1)))=0,1)</formula>
    </cfRule>
  </conditionalFormatting>
  <conditionalFormatting sqref="H15:H32">
    <cfRule type="expression" dxfId="3316" priority="209">
      <formula>IF(+(IF(H15&lt;T66,0,IF(H15&gt;U66,0,1)))=0,1)</formula>
    </cfRule>
  </conditionalFormatting>
  <conditionalFormatting sqref="H33:H46">
    <cfRule type="expression" dxfId="3315" priority="29">
      <formula>IF(+(IF(H33&lt;T48,0,IF(H33&gt;U48,0,1)))=0,1)</formula>
    </cfRule>
    <cfRule type="expression" dxfId="3314" priority="28">
      <formula>IF(+(IF(H33&lt;T57,0,IF(H33&gt;U57,0,1)))=0,1)</formula>
    </cfRule>
  </conditionalFormatting>
  <conditionalFormatting sqref="H47">
    <cfRule type="expression" dxfId="3313" priority="193">
      <formula>IF(+(IF(H47&lt;#REF!,0,IF(H47&gt;#REF!,0,1)))=0,1)</formula>
    </cfRule>
  </conditionalFormatting>
  <conditionalFormatting sqref="H51:H61">
    <cfRule type="cellIs" dxfId="3312" priority="159" stopIfTrue="1" operator="greaterThan">
      <formula>0</formula>
    </cfRule>
  </conditionalFormatting>
  <conditionalFormatting sqref="H79">
    <cfRule type="cellIs" dxfId="3311" priority="2" stopIfTrue="1" operator="lessThanOrEqual">
      <formula>0</formula>
    </cfRule>
    <cfRule type="cellIs" dxfId="3310" priority="12" stopIfTrue="1" operator="lessThanOrEqual">
      <formula>0</formula>
    </cfRule>
    <cfRule type="cellIs" dxfId="3309" priority="11" stopIfTrue="1" operator="greaterThan">
      <formula>$F$56</formula>
    </cfRule>
    <cfRule type="cellIs" dxfId="3308" priority="14" stopIfTrue="1" operator="lessThanOrEqual">
      <formula>0</formula>
    </cfRule>
    <cfRule type="cellIs" dxfId="3307" priority="3" stopIfTrue="1" operator="greaterThan">
      <formula>$F$53</formula>
    </cfRule>
    <cfRule type="cellIs" dxfId="3306" priority="13" stopIfTrue="1" operator="greaterThan">
      <formula>$F$54</formula>
    </cfRule>
  </conditionalFormatting>
  <conditionalFormatting sqref="H80">
    <cfRule type="cellIs" dxfId="3305" priority="102" stopIfTrue="1" operator="lessThanOrEqual">
      <formula>0</formula>
    </cfRule>
    <cfRule type="cellIs" dxfId="3304" priority="93" stopIfTrue="1" operator="greaterThan">
      <formula>$F$88</formula>
    </cfRule>
    <cfRule type="cellIs" dxfId="3303" priority="92" stopIfTrue="1" operator="lessThanOrEqual">
      <formula>0</formula>
    </cfRule>
    <cfRule type="cellIs" dxfId="3302" priority="104" stopIfTrue="1" operator="lessThanOrEqual">
      <formula>0</formula>
    </cfRule>
    <cfRule type="cellIs" dxfId="3301" priority="103" stopIfTrue="1" operator="greaterThan">
      <formula>$F$89</formula>
    </cfRule>
    <cfRule type="cellIs" dxfId="3300" priority="101" stopIfTrue="1" operator="greaterThan">
      <formula>$F$91</formula>
    </cfRule>
  </conditionalFormatting>
  <conditionalFormatting sqref="H81">
    <cfRule type="cellIs" dxfId="3299" priority="35" stopIfTrue="1" operator="lessThanOrEqual">
      <formula>0</formula>
    </cfRule>
    <cfRule type="cellIs" dxfId="3298" priority="47" stopIfTrue="1" operator="lessThanOrEqual">
      <formula>0</formula>
    </cfRule>
    <cfRule type="cellIs" dxfId="3297" priority="46" stopIfTrue="1" operator="greaterThan">
      <formula>$F$73</formula>
    </cfRule>
    <cfRule type="cellIs" dxfId="3296" priority="45" stopIfTrue="1" operator="lessThanOrEqual">
      <formula>0</formula>
    </cfRule>
    <cfRule type="cellIs" dxfId="3295" priority="44" stopIfTrue="1" operator="greaterThan">
      <formula>$F$75</formula>
    </cfRule>
    <cfRule type="cellIs" dxfId="3294" priority="36" stopIfTrue="1" operator="greaterThan">
      <formula>$F$72</formula>
    </cfRule>
  </conditionalFormatting>
  <conditionalFormatting sqref="H82">
    <cfRule type="cellIs" dxfId="3293" priority="84" stopIfTrue="1" operator="greaterThan">
      <formula>#REF!</formula>
    </cfRule>
    <cfRule type="cellIs" dxfId="3292" priority="76" stopIfTrue="1" operator="greaterThan">
      <formula>#REF!</formula>
    </cfRule>
    <cfRule type="cellIs" dxfId="3291" priority="75" stopIfTrue="1" operator="lessThanOrEqual">
      <formula>0</formula>
    </cfRule>
  </conditionalFormatting>
  <conditionalFormatting sqref="H82:H84">
    <cfRule type="cellIs" dxfId="3290" priority="85" stopIfTrue="1" operator="lessThanOrEqual">
      <formula>0</formula>
    </cfRule>
  </conditionalFormatting>
  <conditionalFormatting sqref="H83:H84">
    <cfRule type="cellIs" dxfId="3289" priority="124" stopIfTrue="1" operator="greaterThan">
      <formula>$F$90</formula>
    </cfRule>
    <cfRule type="cellIs" dxfId="3288" priority="123" stopIfTrue="1" operator="lessThanOrEqual">
      <formula>0</formula>
    </cfRule>
    <cfRule type="cellIs" dxfId="3287" priority="122" stopIfTrue="1" operator="greaterThan">
      <formula>$F$92</formula>
    </cfRule>
    <cfRule type="cellIs" dxfId="3286" priority="114" stopIfTrue="1" operator="greaterThan">
      <formula>$F$89</formula>
    </cfRule>
    <cfRule type="cellIs" dxfId="3285" priority="125" stopIfTrue="1" operator="lessThanOrEqual">
      <formula>0</formula>
    </cfRule>
  </conditionalFormatting>
  <conditionalFormatting sqref="H85">
    <cfRule type="cellIs" dxfId="3284" priority="155" stopIfTrue="1" operator="greaterThan">
      <formula>$F$82</formula>
    </cfRule>
    <cfRule type="cellIs" dxfId="3283" priority="154" stopIfTrue="1" operator="lessThanOrEqual">
      <formula>0</formula>
    </cfRule>
    <cfRule type="cellIs" dxfId="3282" priority="153" stopIfTrue="1" operator="greaterThan">
      <formula>$F$86</formula>
    </cfRule>
    <cfRule type="cellIs" dxfId="3281" priority="156" stopIfTrue="1" operator="lessThanOrEqual">
      <formula>0</formula>
    </cfRule>
  </conditionalFormatting>
  <conditionalFormatting sqref="H89:H96">
    <cfRule type="cellIs" dxfId="3280" priority="127" stopIfTrue="1" operator="lessThanOrEqual">
      <formula>0</formula>
    </cfRule>
    <cfRule type="cellIs" dxfId="3279" priority="126" stopIfTrue="1" operator="greaterThan">
      <formula>$J89</formula>
    </cfRule>
  </conditionalFormatting>
  <conditionalFormatting sqref="H97">
    <cfRule type="cellIs" dxfId="3278" priority="132" operator="greaterThan">
      <formula>5.3</formula>
    </cfRule>
  </conditionalFormatting>
  <conditionalFormatting sqref="H100 H102:H108">
    <cfRule type="cellIs" dxfId="3277" priority="178" stopIfTrue="1" operator="lessThanOrEqual">
      <formula>0</formula>
    </cfRule>
    <cfRule type="cellIs" dxfId="3276" priority="177" stopIfTrue="1" operator="greaterThan">
      <formula>4.5</formula>
    </cfRule>
  </conditionalFormatting>
  <conditionalFormatting sqref="H79:I79">
    <cfRule type="cellIs" dxfId="3275" priority="4" stopIfTrue="1" operator="lessThanOrEqual">
      <formula>0</formula>
    </cfRule>
    <cfRule type="cellIs" dxfId="3274" priority="1" stopIfTrue="1" operator="greaterThan">
      <formula>$F$55</formula>
    </cfRule>
  </conditionalFormatting>
  <conditionalFormatting sqref="H80:I80">
    <cfRule type="cellIs" dxfId="3273" priority="91" stopIfTrue="1" operator="greaterThan">
      <formula>$F$90</formula>
    </cfRule>
    <cfRule type="cellIs" dxfId="3272" priority="94" stopIfTrue="1" operator="lessThanOrEqual">
      <formula>0</formula>
    </cfRule>
  </conditionalFormatting>
  <conditionalFormatting sqref="H81:I81">
    <cfRule type="cellIs" dxfId="3271" priority="37" stopIfTrue="1" operator="lessThanOrEqual">
      <formula>0</formula>
    </cfRule>
    <cfRule type="cellIs" dxfId="3270" priority="34" stopIfTrue="1" operator="greaterThan">
      <formula>$F$74</formula>
    </cfRule>
  </conditionalFormatting>
  <conditionalFormatting sqref="H82:I82">
    <cfRule type="cellIs" dxfId="3269" priority="74" stopIfTrue="1" operator="greaterThan">
      <formula>#REF!</formula>
    </cfRule>
    <cfRule type="cellIs" dxfId="3268" priority="77" stopIfTrue="1" operator="lessThanOrEqual">
      <formula>0</formula>
    </cfRule>
    <cfRule type="cellIs" dxfId="3267" priority="83" stopIfTrue="1" operator="lessThanOrEqual">
      <formula>0</formula>
    </cfRule>
    <cfRule type="cellIs" dxfId="3266" priority="82" stopIfTrue="1" operator="greaterThan">
      <formula>#REF!</formula>
    </cfRule>
  </conditionalFormatting>
  <conditionalFormatting sqref="H83:I83">
    <cfRule type="cellIs" dxfId="3265" priority="115" stopIfTrue="1" operator="lessThanOrEqual">
      <formula>0</formula>
    </cfRule>
  </conditionalFormatting>
  <conditionalFormatting sqref="H83:I84">
    <cfRule type="cellIs" dxfId="3264" priority="72" stopIfTrue="1" operator="greaterThan">
      <formula>$F$91</formula>
    </cfRule>
  </conditionalFormatting>
  <conditionalFormatting sqref="H84:I84">
    <cfRule type="cellIs" dxfId="3263" priority="73" stopIfTrue="1" operator="lessThanOrEqual">
      <formula>0</formula>
    </cfRule>
  </conditionalFormatting>
  <conditionalFormatting sqref="I10:I14">
    <cfRule type="cellIs" dxfId="3262" priority="49" operator="lessThan">
      <formula>97.8</formula>
    </cfRule>
  </conditionalFormatting>
  <conditionalFormatting sqref="I10:I47">
    <cfRule type="cellIs" dxfId="3261" priority="21" operator="lessThan">
      <formula>98</formula>
    </cfRule>
  </conditionalFormatting>
  <conditionalFormatting sqref="I33:I46">
    <cfRule type="cellIs" dxfId="3260" priority="22" operator="lessThan">
      <formula>97.8</formula>
    </cfRule>
  </conditionalFormatting>
  <conditionalFormatting sqref="I79">
    <cfRule type="cellIs" dxfId="3259" priority="10" stopIfTrue="1" operator="lessThanOrEqual">
      <formula>0</formula>
    </cfRule>
    <cfRule type="cellIs" dxfId="3258" priority="8" stopIfTrue="1" operator="lessThanOrEqual">
      <formula>0</formula>
    </cfRule>
    <cfRule type="cellIs" dxfId="3257" priority="7" stopIfTrue="1" operator="greaterThan">
      <formula>$F$55</formula>
    </cfRule>
    <cfRule type="cellIs" dxfId="3256" priority="6" stopIfTrue="1" operator="lessThanOrEqual">
      <formula>0</formula>
    </cfRule>
    <cfRule type="cellIs" dxfId="3255" priority="5" stopIfTrue="1" operator="greaterThan">
      <formula>$F$53</formula>
    </cfRule>
    <cfRule type="cellIs" dxfId="3254" priority="9" stopIfTrue="1" operator="greaterThan">
      <formula>$F$53</formula>
    </cfRule>
  </conditionalFormatting>
  <conditionalFormatting sqref="I80">
    <cfRule type="cellIs" dxfId="3253" priority="98" stopIfTrue="1" operator="lessThanOrEqual">
      <formula>0</formula>
    </cfRule>
    <cfRule type="cellIs" dxfId="3252" priority="97" stopIfTrue="1" operator="greaterThan">
      <formula>$F$90</formula>
    </cfRule>
    <cfRule type="cellIs" dxfId="3251" priority="100" stopIfTrue="1" operator="lessThanOrEqual">
      <formula>0</formula>
    </cfRule>
    <cfRule type="cellIs" dxfId="3250" priority="99" stopIfTrue="1" operator="greaterThan">
      <formula>$F$88</formula>
    </cfRule>
    <cfRule type="cellIs" dxfId="3249" priority="95" stopIfTrue="1" operator="greaterThan">
      <formula>$F$88</formula>
    </cfRule>
    <cfRule type="cellIs" dxfId="3248" priority="96" stopIfTrue="1" operator="lessThanOrEqual">
      <formula>0</formula>
    </cfRule>
  </conditionalFormatting>
  <conditionalFormatting sqref="I81">
    <cfRule type="cellIs" dxfId="3247" priority="42" stopIfTrue="1" operator="greaterThan">
      <formula>$F$72</formula>
    </cfRule>
    <cfRule type="cellIs" dxfId="3246" priority="41" stopIfTrue="1" operator="lessThanOrEqual">
      <formula>0</formula>
    </cfRule>
    <cfRule type="cellIs" dxfId="3245" priority="40" stopIfTrue="1" operator="greaterThan">
      <formula>$F$74</formula>
    </cfRule>
    <cfRule type="cellIs" dxfId="3244" priority="39" stopIfTrue="1" operator="lessThanOrEqual">
      <formula>0</formula>
    </cfRule>
    <cfRule type="cellIs" dxfId="3243" priority="38" stopIfTrue="1" operator="greaterThan">
      <formula>$F$72</formula>
    </cfRule>
    <cfRule type="cellIs" dxfId="3242" priority="43" stopIfTrue="1" operator="lessThanOrEqual">
      <formula>0</formula>
    </cfRule>
  </conditionalFormatting>
  <conditionalFormatting sqref="I82">
    <cfRule type="cellIs" dxfId="3241" priority="78" stopIfTrue="1" operator="greaterThan">
      <formula>#REF!</formula>
    </cfRule>
    <cfRule type="cellIs" dxfId="3240" priority="81" stopIfTrue="1" operator="lessThanOrEqual">
      <formula>0</formula>
    </cfRule>
    <cfRule type="cellIs" dxfId="3239" priority="80" stopIfTrue="1" operator="greaterThan">
      <formula>#REF!</formula>
    </cfRule>
    <cfRule type="cellIs" dxfId="3238" priority="79" stopIfTrue="1" operator="lessThanOrEqual">
      <formula>0</formula>
    </cfRule>
  </conditionalFormatting>
  <conditionalFormatting sqref="I83:I84">
    <cfRule type="cellIs" dxfId="3237" priority="116" stopIfTrue="1" operator="greaterThan">
      <formula>$F$89</formula>
    </cfRule>
    <cfRule type="cellIs" dxfId="3236" priority="118" stopIfTrue="1" operator="greaterThan">
      <formula>$F$91</formula>
    </cfRule>
    <cfRule type="cellIs" dxfId="3235" priority="119" stopIfTrue="1" operator="lessThanOrEqual">
      <formula>0</formula>
    </cfRule>
    <cfRule type="cellIs" dxfId="3234" priority="120" stopIfTrue="1" operator="greaterThan">
      <formula>$F$89</formula>
    </cfRule>
    <cfRule type="cellIs" dxfId="3233" priority="121" stopIfTrue="1" operator="lessThanOrEqual">
      <formula>0</formula>
    </cfRule>
    <cfRule type="cellIs" dxfId="3232" priority="117" stopIfTrue="1" operator="lessThanOrEqual">
      <formula>0</formula>
    </cfRule>
  </conditionalFormatting>
  <conditionalFormatting sqref="I89:I97">
    <cfRule type="cellIs" dxfId="3231" priority="133" stopIfTrue="1" operator="greaterThan">
      <formula>$J89</formula>
    </cfRule>
    <cfRule type="cellIs" dxfId="3230" priority="134" stopIfTrue="1" operator="lessThanOrEqual">
      <formula>0</formula>
    </cfRule>
  </conditionalFormatting>
  <conditionalFormatting sqref="I100:I108">
    <cfRule type="cellIs" dxfId="3229" priority="174" stopIfTrue="1" operator="lessThanOrEqual">
      <formula>0</formula>
    </cfRule>
    <cfRule type="cellIs" dxfId="3228" priority="173" stopIfTrue="1" operator="greaterThan">
      <formula>4.5</formula>
    </cfRule>
  </conditionalFormatting>
  <conditionalFormatting sqref="J10:J14">
    <cfRule type="cellIs" dxfId="3227" priority="51" operator="notBetween">
      <formula>98</formula>
      <formula>99.9</formula>
    </cfRule>
  </conditionalFormatting>
  <conditionalFormatting sqref="J10:J47">
    <cfRule type="cellIs" dxfId="3226" priority="20" operator="lessThan">
      <formula>97.4</formula>
    </cfRule>
  </conditionalFormatting>
  <conditionalFormatting sqref="J33:J46">
    <cfRule type="cellIs" dxfId="3225" priority="24" operator="notBetween">
      <formula>98</formula>
      <formula>99.9</formula>
    </cfRule>
  </conditionalFormatting>
  <conditionalFormatting sqref="J50:J52">
    <cfRule type="cellIs" dxfId="3224" priority="107" stopIfTrue="1" operator="lessThan">
      <formula>96.8</formula>
    </cfRule>
    <cfRule type="cellIs" dxfId="3223" priority="108" stopIfTrue="1" operator="greaterThan">
      <formula>100</formula>
    </cfRule>
    <cfRule type="cellIs" dxfId="3222" priority="109" operator="lessThan">
      <formula>98</formula>
    </cfRule>
  </conditionalFormatting>
  <conditionalFormatting sqref="J50:J54">
    <cfRule type="cellIs" dxfId="3221" priority="48" operator="lessThan">
      <formula>97.4</formula>
    </cfRule>
  </conditionalFormatting>
  <conditionalFormatting sqref="J55 L59:M59 L61:M61">
    <cfRule type="cellIs" dxfId="3220" priority="110" operator="lessThan">
      <formula>98</formula>
    </cfRule>
  </conditionalFormatting>
  <conditionalFormatting sqref="J56:J57">
    <cfRule type="cellIs" dxfId="3219" priority="111" stopIfTrue="1" operator="lessThan">
      <formula>96.8</formula>
    </cfRule>
    <cfRule type="cellIs" dxfId="3218" priority="112" stopIfTrue="1" operator="greaterThan">
      <formula>100</formula>
    </cfRule>
  </conditionalFormatting>
  <conditionalFormatting sqref="J56:J58">
    <cfRule type="cellIs" dxfId="3217" priority="113" operator="lessThan">
      <formula>98</formula>
    </cfRule>
  </conditionalFormatting>
  <conditionalFormatting sqref="K10:K14">
    <cfRule type="cellIs" dxfId="3216" priority="50" operator="greaterThan">
      <formula>6.4</formula>
    </cfRule>
  </conditionalFormatting>
  <conditionalFormatting sqref="K10:K47">
    <cfRule type="cellIs" dxfId="3215" priority="16" operator="greaterThan">
      <formula>6</formula>
    </cfRule>
    <cfRule type="cellIs" dxfId="3214" priority="17" operator="lessThan">
      <formula>4</formula>
    </cfRule>
  </conditionalFormatting>
  <conditionalFormatting sqref="K33:K46">
    <cfRule type="cellIs" dxfId="3213" priority="23" operator="greaterThan">
      <formula>6.4</formula>
    </cfRule>
  </conditionalFormatting>
  <conditionalFormatting sqref="K64:K73">
    <cfRule type="cellIs" dxfId="3212" priority="141" operator="notEqual">
      <formula>#REF!</formula>
    </cfRule>
  </conditionalFormatting>
  <conditionalFormatting sqref="K79:K84 J85:K85 L89:N89 K90:N97">
    <cfRule type="cellIs" dxfId="3211" priority="152" stopIfTrue="1" operator="lessThan">
      <formula>100%</formula>
    </cfRule>
  </conditionalFormatting>
  <conditionalFormatting sqref="K100:K105">
    <cfRule type="cellIs" dxfId="3210" priority="179" stopIfTrue="1" operator="lessThan">
      <formula>100%</formula>
    </cfRule>
  </conditionalFormatting>
  <conditionalFormatting sqref="K107:K108">
    <cfRule type="cellIs" dxfId="3209" priority="186" stopIfTrue="1" operator="lessThan">
      <formula>100%</formula>
    </cfRule>
  </conditionalFormatting>
  <conditionalFormatting sqref="L10:L47">
    <cfRule type="cellIs" dxfId="3208" priority="18" operator="between">
      <formula>61</formula>
      <formula>65</formula>
    </cfRule>
    <cfRule type="cellIs" dxfId="3207" priority="19" operator="greaterThan">
      <formula>65</formula>
    </cfRule>
  </conditionalFormatting>
  <conditionalFormatting sqref="L52:L58">
    <cfRule type="cellIs" dxfId="3206" priority="88" operator="lessThan">
      <formula>98</formula>
    </cfRule>
  </conditionalFormatting>
  <conditionalFormatting sqref="L65:N65">
    <cfRule type="cellIs" dxfId="3205" priority="87" operator="notEqual">
      <formula>#REF!</formula>
    </cfRule>
  </conditionalFormatting>
  <conditionalFormatting sqref="L100:N108">
    <cfRule type="cellIs" dxfId="3204" priority="164" stopIfTrue="1" operator="lessThan">
      <formula>100%</formula>
    </cfRule>
  </conditionalFormatting>
  <conditionalFormatting sqref="M10:M11">
    <cfRule type="expression" dxfId="3203" priority="65">
      <formula>IF(+(IF(M10&lt;V23,0,IF(M10&gt;W23,0,1)))=0,1)</formula>
    </cfRule>
  </conditionalFormatting>
  <conditionalFormatting sqref="M13">
    <cfRule type="expression" dxfId="3202" priority="57">
      <formula>IF(+(IF(M13&lt;V52,0,IF(M13&gt;W52,0,1)))=0,1)</formula>
    </cfRule>
    <cfRule type="expression" dxfId="3201" priority="58">
      <formula>IF(+(IF(M13&lt;V47,0,IF(M13&gt;W47,0,1)))=0,1)</formula>
    </cfRule>
  </conditionalFormatting>
  <conditionalFormatting sqref="M14">
    <cfRule type="expression" dxfId="3200" priority="199">
      <formula>IF(+(IF(M14&lt;V27,0,IF(M14&gt;W27,0,1)))=0,1)</formula>
    </cfRule>
  </conditionalFormatting>
  <conditionalFormatting sqref="M15:M32">
    <cfRule type="expression" dxfId="3199" priority="210">
      <formula>IF(+(IF(M15&lt;V62,0,IF(M15&gt;W62,0,1)))=0,1)</formula>
    </cfRule>
  </conditionalFormatting>
  <conditionalFormatting sqref="M33:M46">
    <cfRule type="expression" dxfId="3198" priority="31">
      <formula>IF(+(IF(M33&lt;V48,0,IF(M33&gt;W48,0,1)))=0,1)</formula>
    </cfRule>
    <cfRule type="expression" dxfId="3197" priority="30">
      <formula>IF(+(IF(M33&lt;V53,0,IF(M33&gt;W53,0,1)))=0,1)</formula>
    </cfRule>
  </conditionalFormatting>
  <conditionalFormatting sqref="M50:M58">
    <cfRule type="cellIs" dxfId="3196" priority="86" operator="lessThan">
      <formula>98</formula>
    </cfRule>
  </conditionalFormatting>
  <conditionalFormatting sqref="M6:N6">
    <cfRule type="cellIs" dxfId="3195" priority="89" operator="greaterThanOrEqual">
      <formula>15</formula>
    </cfRule>
    <cfRule type="cellIs" dxfId="3194" priority="90" operator="greaterThanOrEqual">
      <formula>19</formula>
    </cfRule>
  </conditionalFormatting>
  <conditionalFormatting sqref="M10:N12">
    <cfRule type="expression" dxfId="3193" priority="66">
      <formula>IF(+(IF(M10&lt;#REF!,0,IF(M10&gt;#REF!,0,1)))=0,1)</formula>
    </cfRule>
  </conditionalFormatting>
  <conditionalFormatting sqref="M14:N14">
    <cfRule type="expression" dxfId="3192" priority="200">
      <formula>IF(+(IF(M14&lt;#REF!,0,IF(M14&gt;#REF!,0,1)))=0,1)</formula>
    </cfRule>
  </conditionalFormatting>
  <conditionalFormatting sqref="M47:N47">
    <cfRule type="expression" dxfId="3191" priority="194">
      <formula>IF(+(IF(M47&lt;#REF!,0,IF(M47&gt;#REF!,0,1)))=0,1)</formula>
    </cfRule>
  </conditionalFormatting>
  <conditionalFormatting sqref="N10:N11">
    <cfRule type="expression" dxfId="3190" priority="67">
      <formula>IF(+(IF(N10&lt;X23,0,IF(N10&gt;Y23,0,1)))=0,1)</formula>
    </cfRule>
  </conditionalFormatting>
  <conditionalFormatting sqref="N13">
    <cfRule type="expression" dxfId="3189" priority="60">
      <formula>IF(+(IF(N13&lt;X47,0,IF(N13&gt;Y47,0,1)))=0,1)</formula>
    </cfRule>
    <cfRule type="expression" dxfId="3188" priority="59">
      <formula>IF(+(IF(N13&lt;X52,0,IF(N13&gt;Y52,0,1)))=0,1)</formula>
    </cfRule>
  </conditionalFormatting>
  <conditionalFormatting sqref="N14">
    <cfRule type="expression" dxfId="3187" priority="203">
      <formula>IF(+(IF(N14&lt;X27,0,IF(N14&gt;Y27,0,1)))=0,1)</formula>
    </cfRule>
  </conditionalFormatting>
  <conditionalFormatting sqref="N15:N32">
    <cfRule type="expression" dxfId="3186" priority="211">
      <formula>IF(+(IF(N15&lt;X62,0,IF(N15&gt;Y62,0,1)))=0,1)</formula>
    </cfRule>
  </conditionalFormatting>
  <conditionalFormatting sqref="N33:N46">
    <cfRule type="expression" dxfId="3185" priority="32">
      <formula>IF(+(IF(N33&lt;X53,0,IF(N33&gt;Y53,0,1)))=0,1)</formula>
    </cfRule>
    <cfRule type="expression" dxfId="3184" priority="33">
      <formula>IF(+(IF(N33&lt;X48,0,IF(N33&gt;Y48,0,1)))=0,1)</formula>
    </cfRule>
  </conditionalFormatting>
  <conditionalFormatting sqref="P6">
    <cfRule type="cellIs" dxfId="3183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7D5E-AEF0-42B5-917B-2E3224B59445}">
  <sheetPr>
    <pageSetUpPr fitToPage="1"/>
  </sheetPr>
  <dimension ref="A1:BF116"/>
  <sheetViews>
    <sheetView topLeftCell="A56" zoomScale="80" zoomScaleNormal="80" workbookViewId="0">
      <selection activeCell="K4" sqref="J4:K6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52">
        <v>45720</v>
      </c>
      <c r="D4" s="452"/>
      <c r="J4" s="401" t="s">
        <v>171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170</v>
      </c>
      <c r="K6" s="404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37" t="s">
        <v>16</v>
      </c>
      <c r="C10" s="366" t="str">
        <f>[22]Brewhouse!$A22</f>
        <v>SM015</v>
      </c>
      <c r="D10" s="279">
        <f>[22]Brewhouse!$AH22</f>
        <v>55.1</v>
      </c>
      <c r="E10" s="279">
        <f>[22]Brewhouse!$AM22</f>
        <v>50.1</v>
      </c>
      <c r="F10" s="276">
        <f>[22]Brewhouse!$Z22</f>
        <v>67</v>
      </c>
      <c r="G10" s="279">
        <f>[22]Brewhouse!$AK22</f>
        <v>17.100000000000001</v>
      </c>
      <c r="H10" s="396">
        <v>17</v>
      </c>
      <c r="I10" s="368">
        <f>[22]Brewhouse!$AY22</f>
        <v>94.953130139836233</v>
      </c>
      <c r="J10" s="368">
        <f>[22]Brewhouse!$AZ22</f>
        <v>94.587321890599398</v>
      </c>
      <c r="K10" s="281">
        <f>[22]Brewhouse!$U22</f>
        <v>5.2268602540834888</v>
      </c>
      <c r="L10" s="276">
        <f>[22]Brewhouse!$T22</f>
        <v>60</v>
      </c>
      <c r="M10" s="397">
        <f>[22]Brewhouse!$Y22-[22]Brewhouse!$X22</f>
        <v>0.12986111111111109</v>
      </c>
      <c r="N10" s="370">
        <f>[22]Brewhouse!$AD22</f>
        <v>0.30763888888888891</v>
      </c>
      <c r="O10" s="371" t="str">
        <f>[22]Brewhouse!$BC22</f>
        <v>R.Sookram</v>
      </c>
      <c r="P10" s="375"/>
      <c r="Q10" s="347"/>
      <c r="S10" s="277" t="str">
        <f t="shared" ref="S10:S12" si="0">B10</f>
        <v>STARMALT</v>
      </c>
      <c r="T10" s="296">
        <f t="shared" ref="T10:T53" si="1">VLOOKUP($B10,$S$3:$Y$9,2,FALSE)</f>
        <v>17.100000000000001</v>
      </c>
      <c r="U10" s="296">
        <f t="shared" ref="U10:U53" si="2">VLOOKUP($B10,$S$3:$Y$9,3,FALSE)</f>
        <v>17.5</v>
      </c>
      <c r="V10" s="297">
        <f t="shared" ref="V10:V53" si="3">VLOOKUP($B10,$S$3:$Y$9,4,FALSE)</f>
        <v>0</v>
      </c>
      <c r="W10" s="297">
        <f t="shared" ref="W10:W53" si="4">VLOOKUP($B10,$S$3:$Y$9,5,FALSE)</f>
        <v>0.13605324074074074</v>
      </c>
      <c r="X10" s="297">
        <f t="shared" ref="X10:X53" si="5">VLOOKUP($B10,$S$3:$Y$9,6,FALSE)</f>
        <v>0.27430555555555552</v>
      </c>
      <c r="Y10" s="297">
        <f t="shared" ref="Y10:Y53" si="6">VLOOKUP($B10,$S$3:$Y$9,7,FALSE)</f>
        <v>0.30902777777777779</v>
      </c>
      <c r="Z10" s="297">
        <f t="shared" ref="Z10:Z53" si="7">VLOOKUP($B10,$S$3:$AA$9,8,FALSE)</f>
        <v>0</v>
      </c>
      <c r="AA10" s="296">
        <f t="shared" ref="AA10:AA53" si="8">VLOOKUP($B10,$S$3:$AA$9,9,FALSE)</f>
        <v>60</v>
      </c>
    </row>
    <row r="11" spans="2:30" ht="14.4">
      <c r="B11" s="37" t="s">
        <v>16</v>
      </c>
      <c r="C11" s="366" t="str">
        <f>[22]Brewhouse!$A23</f>
        <v>SM016</v>
      </c>
      <c r="D11" s="279">
        <f>[22]Brewhouse!$AH23</f>
        <v>53.5</v>
      </c>
      <c r="E11" s="279">
        <f>[22]Brewhouse!$AM23</f>
        <v>50.7</v>
      </c>
      <c r="F11" s="276">
        <f>[22]Brewhouse!$Z23</f>
        <v>66</v>
      </c>
      <c r="G11" s="279">
        <f>[22]Brewhouse!$AK23</f>
        <v>17.8</v>
      </c>
      <c r="H11" s="396">
        <v>17.5</v>
      </c>
      <c r="I11" s="368">
        <f>[22]Brewhouse!$AY23</f>
        <v>100.2179588674224</v>
      </c>
      <c r="J11" s="368">
        <f>[22]Brewhouse!$AZ23</f>
        <v>99.831509308186597</v>
      </c>
      <c r="K11" s="281">
        <f>[22]Brewhouse!$U23</f>
        <v>3.7009345794392599</v>
      </c>
      <c r="L11" s="276">
        <f>[22]Brewhouse!$T23</f>
        <v>60</v>
      </c>
      <c r="M11" s="397">
        <f>[22]Brewhouse!$Y23-[22]Brewhouse!$X23</f>
        <v>0.14444444444444438</v>
      </c>
      <c r="N11" s="370">
        <f>[22]Brewhouse!$AD23</f>
        <v>0.3118055555555555</v>
      </c>
      <c r="O11" s="371" t="str">
        <f>[22]Brewhouse!$BC23</f>
        <v>K. Benjamin</v>
      </c>
      <c r="P11" s="375"/>
      <c r="Q11" s="347"/>
      <c r="S11" s="277" t="str">
        <f t="shared" si="0"/>
        <v>STARMALT</v>
      </c>
      <c r="T11" s="296">
        <f t="shared" si="1"/>
        <v>17.100000000000001</v>
      </c>
      <c r="U11" s="296">
        <f t="shared" si="2"/>
        <v>17.5</v>
      </c>
      <c r="V11" s="297">
        <f t="shared" si="3"/>
        <v>0</v>
      </c>
      <c r="W11" s="297">
        <f t="shared" si="4"/>
        <v>0.13605324074074074</v>
      </c>
      <c r="X11" s="297">
        <f t="shared" si="5"/>
        <v>0.27430555555555552</v>
      </c>
      <c r="Y11" s="297">
        <f t="shared" si="6"/>
        <v>0.30902777777777779</v>
      </c>
      <c r="Z11" s="297">
        <f t="shared" si="7"/>
        <v>0</v>
      </c>
      <c r="AA11" s="296">
        <f t="shared" si="8"/>
        <v>60</v>
      </c>
    </row>
    <row r="12" spans="2:30" ht="14.4">
      <c r="B12" s="37" t="s">
        <v>16</v>
      </c>
      <c r="C12" s="366" t="str">
        <f>[22]Brewhouse!$A24</f>
        <v>SM017</v>
      </c>
      <c r="D12" s="279">
        <f>[22]Brewhouse!$AH24</f>
        <v>53.5</v>
      </c>
      <c r="E12" s="279">
        <f>[22]Brewhouse!$AM24</f>
        <v>51.3</v>
      </c>
      <c r="F12" s="276">
        <f>[22]Brewhouse!$Z24</f>
        <v>72</v>
      </c>
      <c r="G12" s="279">
        <f>[22]Brewhouse!$AK24</f>
        <v>17.2</v>
      </c>
      <c r="H12" s="396">
        <v>17</v>
      </c>
      <c r="I12" s="368">
        <f>[22]Brewhouse!$AY24</f>
        <v>92.417462104672595</v>
      </c>
      <c r="J12" s="368">
        <f>[22]Brewhouse!$AZ24</f>
        <v>92.061091970021494</v>
      </c>
      <c r="K12" s="281">
        <f>[22]Brewhouse!$U24</f>
        <v>1.8317757009345867</v>
      </c>
      <c r="L12" s="276">
        <f>[22]Brewhouse!$T24</f>
        <v>60</v>
      </c>
      <c r="M12" s="397">
        <f>[22]Brewhouse!$Y24-[22]Brewhouse!$X24</f>
        <v>0.13194444444444448</v>
      </c>
      <c r="N12" s="370">
        <f>[22]Brewhouse!$AD24</f>
        <v>0.29097222222222224</v>
      </c>
      <c r="O12" s="371" t="str">
        <f>[22]Brewhouse!$BC24</f>
        <v>K. Benjamin</v>
      </c>
      <c r="P12" s="375"/>
      <c r="Q12" s="347"/>
      <c r="S12" s="277" t="str">
        <f t="shared" si="0"/>
        <v>STARMALT</v>
      </c>
      <c r="T12" s="296">
        <f t="shared" si="1"/>
        <v>17.100000000000001</v>
      </c>
      <c r="U12" s="296">
        <f t="shared" si="2"/>
        <v>17.5</v>
      </c>
      <c r="V12" s="297">
        <f t="shared" si="3"/>
        <v>0</v>
      </c>
      <c r="W12" s="297">
        <f t="shared" si="4"/>
        <v>0.13605324074074074</v>
      </c>
      <c r="X12" s="297">
        <f t="shared" si="5"/>
        <v>0.27430555555555552</v>
      </c>
      <c r="Y12" s="297">
        <f t="shared" si="6"/>
        <v>0.30902777777777779</v>
      </c>
      <c r="Z12" s="297">
        <f t="shared" si="7"/>
        <v>0</v>
      </c>
      <c r="AA12" s="296">
        <f t="shared" si="8"/>
        <v>60</v>
      </c>
    </row>
    <row r="13" spans="2:30" ht="14.4">
      <c r="B13" s="37" t="s">
        <v>16</v>
      </c>
      <c r="C13" s="366" t="str">
        <f>[22]Brewhouse!$A25</f>
        <v>SM018</v>
      </c>
      <c r="D13" s="279">
        <f>[22]Brewhouse!$AH25</f>
        <v>53.8</v>
      </c>
      <c r="E13" s="279">
        <f>[22]Brewhouse!$AM25</f>
        <v>50</v>
      </c>
      <c r="F13" s="276">
        <f>[22]Brewhouse!$Z25</f>
        <v>67</v>
      </c>
      <c r="G13" s="279">
        <f>[22]Brewhouse!$AK25</f>
        <v>17.7</v>
      </c>
      <c r="H13" s="396">
        <v>17.600000000000001</v>
      </c>
      <c r="I13" s="368">
        <f>[22]Brewhouse!$AY25</f>
        <v>98.212353766599264</v>
      </c>
      <c r="J13" s="368">
        <f>[22]Brewhouse!$AZ25</f>
        <v>97.833638002942337</v>
      </c>
      <c r="K13" s="281">
        <f>[22]Brewhouse!$U25</f>
        <v>3.866171003717469</v>
      </c>
      <c r="L13" s="276">
        <f>[22]Brewhouse!$T25</f>
        <v>60</v>
      </c>
      <c r="M13" s="397">
        <f>[22]Brewhouse!$Y25-[22]Brewhouse!$X25</f>
        <v>0.12777777777777777</v>
      </c>
      <c r="N13" s="370">
        <f>[22]Brewhouse!$AD25</f>
        <v>0.31041666666666667</v>
      </c>
      <c r="O13" s="371" t="str">
        <f>[22]Brewhouse!$BC25</f>
        <v>K. Benjamin</v>
      </c>
      <c r="P13" s="375"/>
      <c r="Q13" s="347"/>
      <c r="S13" s="277" t="str">
        <f t="shared" ref="S13:S53" si="9">B13</f>
        <v>STARMALT</v>
      </c>
      <c r="T13" s="296">
        <f t="shared" si="1"/>
        <v>17.100000000000001</v>
      </c>
      <c r="U13" s="296">
        <f t="shared" si="2"/>
        <v>17.5</v>
      </c>
      <c r="V13" s="297">
        <f t="shared" si="3"/>
        <v>0</v>
      </c>
      <c r="W13" s="297">
        <f t="shared" si="4"/>
        <v>0.13605324074074074</v>
      </c>
      <c r="X13" s="297">
        <f t="shared" si="5"/>
        <v>0.27430555555555552</v>
      </c>
      <c r="Y13" s="297">
        <f t="shared" si="6"/>
        <v>0.30902777777777779</v>
      </c>
      <c r="Z13" s="297">
        <f t="shared" si="7"/>
        <v>0</v>
      </c>
      <c r="AA13" s="296">
        <f t="shared" si="8"/>
        <v>60</v>
      </c>
    </row>
    <row r="14" spans="2:30" ht="14.4">
      <c r="B14" s="37" t="s">
        <v>16</v>
      </c>
      <c r="C14" s="366" t="str">
        <f>[22]Brewhouse!$A26</f>
        <v>SM019</v>
      </c>
      <c r="D14" s="279">
        <f>[22]Brewhouse!$AH26</f>
        <v>53.4</v>
      </c>
      <c r="E14" s="279">
        <f>[22]Brewhouse!$AM26</f>
        <v>51</v>
      </c>
      <c r="F14" s="276">
        <f>[22]Brewhouse!$Z26</f>
        <v>72</v>
      </c>
      <c r="G14" s="279">
        <f>[22]Brewhouse!$AK26</f>
        <v>17.73</v>
      </c>
      <c r="H14" s="396">
        <v>17.600000000000001</v>
      </c>
      <c r="I14" s="368">
        <f>[22]Brewhouse!$AY26</f>
        <v>100.17660084193123</v>
      </c>
      <c r="J14" s="368">
        <f>[22]Brewhouse!$AZ26</f>
        <v>99.790310763001173</v>
      </c>
      <c r="K14" s="281">
        <f>[22]Brewhouse!$U26</f>
        <v>3.1460674157303368</v>
      </c>
      <c r="L14" s="276">
        <f>[22]Brewhouse!$T26</f>
        <v>60</v>
      </c>
      <c r="M14" s="397">
        <f>[22]Brewhouse!$Y26-[22]Brewhouse!$X26</f>
        <v>0.12708333333333333</v>
      </c>
      <c r="N14" s="370">
        <f>[22]Brewhouse!$AD26</f>
        <v>0.31319444444444444</v>
      </c>
      <c r="O14" s="371" t="str">
        <f>[22]Brewhouse!$BC26</f>
        <v>R. Regis</v>
      </c>
      <c r="P14" s="375"/>
      <c r="Q14" s="347"/>
      <c r="S14" s="277" t="str">
        <f t="shared" si="9"/>
        <v>STARMALT</v>
      </c>
      <c r="T14" s="296">
        <f t="shared" si="1"/>
        <v>17.100000000000001</v>
      </c>
      <c r="U14" s="296">
        <f t="shared" si="2"/>
        <v>17.5</v>
      </c>
      <c r="V14" s="297">
        <f t="shared" si="3"/>
        <v>0</v>
      </c>
      <c r="W14" s="297">
        <f t="shared" si="4"/>
        <v>0.13605324074074074</v>
      </c>
      <c r="X14" s="297">
        <f t="shared" si="5"/>
        <v>0.27430555555555552</v>
      </c>
      <c r="Y14" s="297">
        <f t="shared" si="6"/>
        <v>0.30902777777777779</v>
      </c>
      <c r="Z14" s="297">
        <f t="shared" si="7"/>
        <v>0</v>
      </c>
      <c r="AA14" s="296">
        <f t="shared" si="8"/>
        <v>60</v>
      </c>
    </row>
    <row r="15" spans="2:30" ht="14.4">
      <c r="B15" s="37" t="s">
        <v>16</v>
      </c>
      <c r="C15" s="366" t="str">
        <f>[22]Brewhouse!$A27</f>
        <v>SM020</v>
      </c>
      <c r="D15" s="279">
        <f>[22]Brewhouse!$AH27</f>
        <v>53.8</v>
      </c>
      <c r="E15" s="279">
        <f>[22]Brewhouse!$AM27</f>
        <v>53</v>
      </c>
      <c r="F15" s="276">
        <f>[22]Brewhouse!$Z27</f>
        <v>54</v>
      </c>
      <c r="G15" s="279">
        <f>[22]Brewhouse!$AK27</f>
        <v>17.260000000000002</v>
      </c>
      <c r="H15" s="396">
        <v>17.100000000000001</v>
      </c>
      <c r="I15" s="368">
        <f>[22]Brewhouse!$AY27</f>
        <v>101.7139711841882</v>
      </c>
      <c r="J15" s="368">
        <f>[22]Brewhouse!$AZ27</f>
        <v>101.32211670117096</v>
      </c>
      <c r="K15" s="281">
        <f>[22]Brewhouse!$U27</f>
        <v>2.5650557620817893</v>
      </c>
      <c r="L15" s="276">
        <f>[22]Brewhouse!$T27</f>
        <v>60</v>
      </c>
      <c r="M15" s="397">
        <f>[22]Brewhouse!$Y27-[22]Brewhouse!$X27</f>
        <v>0.125</v>
      </c>
      <c r="N15" s="370">
        <f>[22]Brewhouse!$AD27</f>
        <v>0.27777777777777779</v>
      </c>
      <c r="O15" s="371" t="str">
        <f>[22]Brewhouse!$BC27</f>
        <v>R. Regis</v>
      </c>
      <c r="P15" s="375"/>
      <c r="Q15" s="347"/>
      <c r="S15" s="277" t="str">
        <f t="shared" si="9"/>
        <v>STARMALT</v>
      </c>
      <c r="T15" s="296">
        <f t="shared" si="1"/>
        <v>17.100000000000001</v>
      </c>
      <c r="U15" s="296">
        <f t="shared" si="2"/>
        <v>17.5</v>
      </c>
      <c r="V15" s="297">
        <f t="shared" si="3"/>
        <v>0</v>
      </c>
      <c r="W15" s="297">
        <f t="shared" si="4"/>
        <v>0.13605324074074074</v>
      </c>
      <c r="X15" s="297">
        <f t="shared" si="5"/>
        <v>0.27430555555555552</v>
      </c>
      <c r="Y15" s="297">
        <f t="shared" si="6"/>
        <v>0.30902777777777779</v>
      </c>
      <c r="Z15" s="297">
        <f t="shared" si="7"/>
        <v>0</v>
      </c>
      <c r="AA15" s="296">
        <f t="shared" si="8"/>
        <v>60</v>
      </c>
    </row>
    <row r="16" spans="2:30" ht="14.4">
      <c r="B16" s="37" t="s">
        <v>16</v>
      </c>
      <c r="C16" s="366" t="str">
        <f>[22]Brewhouse!$A28</f>
        <v>SM021</v>
      </c>
      <c r="D16" s="279">
        <f>[22]Brewhouse!$AH28</f>
        <v>53</v>
      </c>
      <c r="E16" s="279">
        <f>[22]Brewhouse!$AM28</f>
        <v>50.5</v>
      </c>
      <c r="F16" s="276">
        <f>[22]Brewhouse!$Z28</f>
        <v>70</v>
      </c>
      <c r="G16" s="279">
        <f>[22]Brewhouse!$AK28</f>
        <v>17.399999999999999</v>
      </c>
      <c r="H16" s="367"/>
      <c r="I16" s="368">
        <f>[22]Brewhouse!$AY28</f>
        <v>97.028254502167584</v>
      </c>
      <c r="J16" s="368">
        <f>[22]Brewhouse!$AZ28</f>
        <v>96.652377658466165</v>
      </c>
      <c r="K16" s="281">
        <f>[22]Brewhouse!$U28</f>
        <v>0.90566037735849803</v>
      </c>
      <c r="L16" s="276">
        <f>[22]Brewhouse!$T28</f>
        <v>59</v>
      </c>
      <c r="M16" s="397">
        <f>[22]Brewhouse!$Y28-[22]Brewhouse!$X28</f>
        <v>0.12222222222222223</v>
      </c>
      <c r="N16" s="370">
        <f>[22]Brewhouse!$AD28</f>
        <v>0.27430555555555558</v>
      </c>
      <c r="O16" s="371" t="str">
        <f>[22]Brewhouse!$BC28</f>
        <v>R.Sookram</v>
      </c>
      <c r="P16" s="375"/>
      <c r="Q16" s="347"/>
      <c r="S16" s="277" t="str">
        <f t="shared" si="9"/>
        <v>STARMALT</v>
      </c>
      <c r="T16" s="296">
        <f t="shared" si="1"/>
        <v>17.100000000000001</v>
      </c>
      <c r="U16" s="296">
        <f t="shared" si="2"/>
        <v>17.5</v>
      </c>
      <c r="V16" s="297">
        <f t="shared" si="3"/>
        <v>0</v>
      </c>
      <c r="W16" s="297">
        <f t="shared" si="4"/>
        <v>0.13605324074074074</v>
      </c>
      <c r="X16" s="297">
        <f t="shared" si="5"/>
        <v>0.27430555555555552</v>
      </c>
      <c r="Y16" s="297">
        <f t="shared" si="6"/>
        <v>0.30902777777777779</v>
      </c>
      <c r="Z16" s="297">
        <f t="shared" si="7"/>
        <v>0</v>
      </c>
      <c r="AA16" s="296">
        <f t="shared" si="8"/>
        <v>60</v>
      </c>
    </row>
    <row r="17" spans="2:27" ht="14.4">
      <c r="B17" s="37" t="s">
        <v>16</v>
      </c>
      <c r="C17" s="366" t="str">
        <f>[22]Brewhouse!$A29</f>
        <v>SM022</v>
      </c>
      <c r="D17" s="279">
        <f>[22]Brewhouse!$AH29</f>
        <v>52.9</v>
      </c>
      <c r="E17" s="279">
        <f>[22]Brewhouse!$AM29</f>
        <v>51.6</v>
      </c>
      <c r="F17" s="276">
        <f>[22]Brewhouse!$Z29</f>
        <v>84</v>
      </c>
      <c r="G17" s="279">
        <f>[22]Brewhouse!$AK29</f>
        <v>17.48</v>
      </c>
      <c r="H17" s="367"/>
      <c r="I17" s="368">
        <f>[22]Brewhouse!$AY29</f>
        <v>99.806942496410372</v>
      </c>
      <c r="J17" s="368">
        <f>[22]Brewhouse!$AZ29</f>
        <v>99.420655492574582</v>
      </c>
      <c r="K17" s="281">
        <f>[22]Brewhouse!$U29</f>
        <v>0.71833648393195193</v>
      </c>
      <c r="L17" s="276">
        <f>[22]Brewhouse!$T29</f>
        <v>60</v>
      </c>
      <c r="M17" s="397">
        <f>[22]Brewhouse!$Y29-[22]Brewhouse!$X29</f>
        <v>0.13541666666666652</v>
      </c>
      <c r="N17" s="370">
        <f>[22]Brewhouse!$AD29</f>
        <v>0.28749999999999987</v>
      </c>
      <c r="O17" s="371" t="str">
        <f>[22]Brewhouse!$BC29</f>
        <v>R.Sookram</v>
      </c>
      <c r="P17" s="369"/>
      <c r="Q17" s="347"/>
      <c r="S17" s="277" t="str">
        <f t="shared" si="9"/>
        <v>STARMALT</v>
      </c>
      <c r="T17" s="296">
        <f t="shared" si="1"/>
        <v>17.100000000000001</v>
      </c>
      <c r="U17" s="296">
        <f t="shared" si="2"/>
        <v>17.5</v>
      </c>
      <c r="V17" s="297">
        <f t="shared" si="3"/>
        <v>0</v>
      </c>
      <c r="W17" s="297">
        <f t="shared" si="4"/>
        <v>0.13605324074074074</v>
      </c>
      <c r="X17" s="297">
        <f t="shared" si="5"/>
        <v>0.27430555555555552</v>
      </c>
      <c r="Y17" s="297">
        <f t="shared" si="6"/>
        <v>0.30902777777777779</v>
      </c>
      <c r="Z17" s="297">
        <f t="shared" si="7"/>
        <v>0</v>
      </c>
      <c r="AA17" s="296">
        <f t="shared" si="8"/>
        <v>60</v>
      </c>
    </row>
    <row r="18" spans="2:27" ht="14.4">
      <c r="B18" s="37"/>
      <c r="C18" s="366"/>
      <c r="D18" s="279"/>
      <c r="E18" s="279"/>
      <c r="F18" s="276"/>
      <c r="G18" s="279"/>
      <c r="H18" s="396"/>
      <c r="I18" s="368"/>
      <c r="J18" s="368"/>
      <c r="K18" s="281"/>
      <c r="L18" s="276"/>
      <c r="M18" s="397"/>
      <c r="N18" s="370"/>
      <c r="O18" s="371"/>
      <c r="P18" s="369"/>
      <c r="Q18" s="347"/>
      <c r="S18" s="277"/>
      <c r="T18" s="296"/>
      <c r="U18" s="296"/>
      <c r="V18" s="297"/>
      <c r="W18" s="297"/>
      <c r="X18" s="297"/>
      <c r="Y18" s="297"/>
      <c r="Z18" s="297"/>
      <c r="AA18" s="296"/>
    </row>
    <row r="19" spans="2:27" ht="14.4">
      <c r="B19" s="37"/>
      <c r="C19" s="366"/>
      <c r="D19" s="279"/>
      <c r="E19" s="279"/>
      <c r="F19" s="276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/>
      <c r="T19" s="296"/>
      <c r="U19" s="296"/>
      <c r="V19" s="297"/>
      <c r="W19" s="297"/>
      <c r="X19" s="297"/>
      <c r="Y19" s="297"/>
      <c r="Z19" s="297"/>
      <c r="AA19" s="296"/>
    </row>
    <row r="20" spans="2:27" ht="14.4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4.4" hidden="1">
      <c r="B21" s="22"/>
      <c r="C21" s="366"/>
      <c r="D21" s="279"/>
      <c r="E21" s="279"/>
      <c r="F21" s="278"/>
      <c r="G21" s="279"/>
      <c r="H21" s="402"/>
      <c r="I21" s="368"/>
      <c r="J21" s="368"/>
      <c r="K21" s="281"/>
      <c r="L21" s="276"/>
      <c r="M21" s="374"/>
      <c r="N21" s="370"/>
      <c r="O21" s="371"/>
      <c r="P21" s="369"/>
      <c r="Q21" s="347"/>
      <c r="S21" s="277">
        <f t="shared" si="9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4.4" hidden="1">
      <c r="B22" s="22"/>
      <c r="C22" s="366"/>
      <c r="D22" s="279"/>
      <c r="E22" s="279"/>
      <c r="F22" s="278"/>
      <c r="G22" s="279"/>
      <c r="H22" s="402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9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4.4" hidden="1">
      <c r="B23" s="22"/>
      <c r="C23" s="366"/>
      <c r="D23" s="279"/>
      <c r="E23" s="279"/>
      <c r="F23" s="278"/>
      <c r="G23" s="279"/>
      <c r="H23" s="402"/>
      <c r="I23" s="368"/>
      <c r="J23" s="368"/>
      <c r="K23" s="281"/>
      <c r="L23" s="276"/>
      <c r="M23" s="374"/>
      <c r="N23" s="370"/>
      <c r="O23" s="371"/>
      <c r="P23" s="369"/>
      <c r="Q23" s="347"/>
      <c r="S23" s="277">
        <f t="shared" si="9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4.4" hidden="1">
      <c r="B24" s="22"/>
      <c r="C24" s="366"/>
      <c r="D24" s="279"/>
      <c r="E24" s="279"/>
      <c r="F24" s="278"/>
      <c r="G24" s="279"/>
      <c r="H24" s="402"/>
      <c r="I24" s="368"/>
      <c r="J24" s="368"/>
      <c r="K24" s="281"/>
      <c r="L24" s="276"/>
      <c r="M24" s="374"/>
      <c r="N24" s="370"/>
      <c r="O24" s="371"/>
      <c r="P24" s="369"/>
      <c r="Q24" s="347"/>
      <c r="S24" s="277">
        <f t="shared" si="9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4.4" hidden="1">
      <c r="B25" s="22"/>
      <c r="C25" s="366"/>
      <c r="D25" s="279"/>
      <c r="E25" s="279"/>
      <c r="F25" s="278"/>
      <c r="G25" s="279"/>
      <c r="H25" s="402"/>
      <c r="I25" s="368"/>
      <c r="J25" s="368"/>
      <c r="K25" s="281"/>
      <c r="L25" s="276"/>
      <c r="M25" s="374"/>
      <c r="N25" s="370"/>
      <c r="O25" s="371"/>
      <c r="P25" s="369"/>
      <c r="Q25" s="347"/>
      <c r="S25" s="277">
        <f t="shared" si="9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4.4" hidden="1">
      <c r="B26" s="22"/>
      <c r="C26" s="366"/>
      <c r="D26" s="279"/>
      <c r="E26" s="279"/>
      <c r="F26" s="278"/>
      <c r="G26" s="279"/>
      <c r="H26" s="402"/>
      <c r="I26" s="368"/>
      <c r="J26" s="368"/>
      <c r="K26" s="281"/>
      <c r="L26" s="276"/>
      <c r="M26" s="374"/>
      <c r="N26" s="370"/>
      <c r="O26" s="371"/>
      <c r="P26" s="369"/>
      <c r="Q26" s="347"/>
      <c r="S26" s="277">
        <f t="shared" si="9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22"/>
      <c r="C27" s="366"/>
      <c r="D27" s="279"/>
      <c r="E27" s="279"/>
      <c r="F27" s="278"/>
      <c r="G27" s="279"/>
      <c r="H27" s="402"/>
      <c r="I27" s="368"/>
      <c r="J27" s="368"/>
      <c r="K27" s="281"/>
      <c r="L27" s="276"/>
      <c r="M27" s="374"/>
      <c r="N27" s="370"/>
      <c r="O27" s="371"/>
      <c r="P27" s="375"/>
      <c r="Q27" s="347"/>
      <c r="S27" s="277">
        <f t="shared" si="9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22"/>
      <c r="C28" s="366"/>
      <c r="D28" s="279"/>
      <c r="E28" s="279"/>
      <c r="F28" s="278"/>
      <c r="G28" s="279"/>
      <c r="H28" s="402"/>
      <c r="I28" s="368"/>
      <c r="J28" s="368"/>
      <c r="K28" s="281"/>
      <c r="L28" s="276"/>
      <c r="M28" s="374"/>
      <c r="N28" s="370"/>
      <c r="O28" s="371"/>
      <c r="P28" s="375"/>
      <c r="Q28" s="347"/>
      <c r="S28" s="277">
        <f t="shared" si="9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4"/>
      <c r="C29" s="366"/>
      <c r="D29" s="279"/>
      <c r="E29" s="279"/>
      <c r="F29" s="278"/>
      <c r="G29" s="279"/>
      <c r="H29" s="396"/>
      <c r="I29" s="368"/>
      <c r="J29" s="368"/>
      <c r="K29" s="398"/>
      <c r="L29" s="276"/>
      <c r="M29" s="399"/>
      <c r="N29" s="370"/>
      <c r="O29" s="371"/>
      <c r="P29" s="369"/>
      <c r="Q29" s="347"/>
      <c r="S29" s="277">
        <f t="shared" si="9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4"/>
      <c r="C30" s="366"/>
      <c r="D30" s="279"/>
      <c r="E30" s="279"/>
      <c r="F30" s="278"/>
      <c r="G30" s="279"/>
      <c r="H30" s="396"/>
      <c r="I30" s="368"/>
      <c r="J30" s="368"/>
      <c r="K30" s="398"/>
      <c r="L30" s="276"/>
      <c r="M30" s="399"/>
      <c r="N30" s="370"/>
      <c r="O30" s="371"/>
      <c r="P30" s="369"/>
      <c r="Q30" s="347"/>
      <c r="S30" s="277">
        <f t="shared" si="9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4"/>
      <c r="C31" s="366"/>
      <c r="D31" s="279"/>
      <c r="E31" s="279"/>
      <c r="F31" s="278"/>
      <c r="G31" s="279"/>
      <c r="H31" s="396"/>
      <c r="I31" s="368"/>
      <c r="J31" s="368"/>
      <c r="K31" s="398"/>
      <c r="L31" s="276"/>
      <c r="M31" s="399"/>
      <c r="N31" s="370"/>
      <c r="O31" s="371"/>
      <c r="P31" s="375"/>
      <c r="Q31" s="347"/>
      <c r="S31" s="277">
        <f t="shared" si="9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.75" hidden="1" customHeight="1">
      <c r="B32" s="34"/>
      <c r="C32" s="366"/>
      <c r="D32" s="279"/>
      <c r="E32" s="279"/>
      <c r="F32" s="278"/>
      <c r="G32" s="279"/>
      <c r="H32" s="396"/>
      <c r="I32" s="368"/>
      <c r="J32" s="368"/>
      <c r="K32" s="398"/>
      <c r="L32" s="276"/>
      <c r="M32" s="399"/>
      <c r="N32" s="370"/>
      <c r="O32" s="371"/>
      <c r="P32" s="375"/>
      <c r="Q32" s="347"/>
      <c r="S32" s="277">
        <f t="shared" si="9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375"/>
      <c r="Q33" s="347"/>
      <c r="S33" s="277">
        <f t="shared" si="9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375"/>
      <c r="Q34" s="347"/>
      <c r="S34" s="277">
        <f t="shared" si="9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375"/>
      <c r="Q35" s="347"/>
      <c r="S35" s="277">
        <f t="shared" si="9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375"/>
      <c r="Q36" s="347"/>
      <c r="S36" s="277">
        <f t="shared" si="9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375"/>
      <c r="Q37" s="347"/>
      <c r="S37" s="277">
        <f t="shared" si="9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369"/>
      <c r="Q38" s="347"/>
      <c r="S38" s="277">
        <f t="shared" si="9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74"/>
      <c r="N39" s="370"/>
      <c r="O39" s="371"/>
      <c r="P39" s="369"/>
      <c r="Q39" s="347"/>
      <c r="S39" s="277">
        <f t="shared" si="9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.75" hidden="1" customHeight="1">
      <c r="B40" s="33"/>
      <c r="C40" s="366"/>
      <c r="D40" s="279"/>
      <c r="E40" s="279"/>
      <c r="F40" s="278"/>
      <c r="G40" s="279"/>
      <c r="H40" s="396"/>
      <c r="I40" s="416"/>
      <c r="J40" s="416"/>
      <c r="K40" s="398"/>
      <c r="L40" s="276"/>
      <c r="M40" s="374"/>
      <c r="N40" s="370"/>
      <c r="O40" s="417"/>
      <c r="P40" s="369"/>
      <c r="Q40" s="347"/>
      <c r="S40" s="277">
        <f t="shared" si="9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.75" hidden="1" customHeight="1">
      <c r="B41" s="33"/>
      <c r="C41" s="366"/>
      <c r="D41" s="279"/>
      <c r="E41" s="279"/>
      <c r="F41" s="278"/>
      <c r="G41" s="279"/>
      <c r="H41" s="396"/>
      <c r="I41" s="416"/>
      <c r="J41" s="416"/>
      <c r="K41" s="398"/>
      <c r="L41" s="276"/>
      <c r="M41" s="374"/>
      <c r="N41" s="370"/>
      <c r="O41" s="417"/>
      <c r="P41" s="369"/>
      <c r="Q41" s="347"/>
      <c r="S41" s="277">
        <f t="shared" si="9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.75" hidden="1" customHeight="1">
      <c r="B42" s="33"/>
      <c r="C42" s="366"/>
      <c r="D42" s="279"/>
      <c r="E42" s="279"/>
      <c r="F42" s="278"/>
      <c r="G42" s="279"/>
      <c r="H42" s="396"/>
      <c r="I42" s="416"/>
      <c r="J42" s="416"/>
      <c r="K42" s="398"/>
      <c r="L42" s="276"/>
      <c r="M42" s="374"/>
      <c r="N42" s="370"/>
      <c r="O42" s="417"/>
      <c r="P42" s="369"/>
      <c r="Q42" s="347"/>
      <c r="S42" s="277">
        <f t="shared" si="9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.75" hidden="1" customHeight="1">
      <c r="B43" s="33"/>
      <c r="C43" s="366"/>
      <c r="D43" s="279"/>
      <c r="E43" s="279"/>
      <c r="F43" s="278"/>
      <c r="G43" s="279"/>
      <c r="H43" s="396"/>
      <c r="I43" s="416"/>
      <c r="J43" s="416"/>
      <c r="K43" s="398"/>
      <c r="L43" s="276"/>
      <c r="M43" s="374"/>
      <c r="N43" s="370"/>
      <c r="O43" s="417"/>
      <c r="P43" s="369"/>
      <c r="Q43" s="347"/>
      <c r="S43" s="277">
        <f t="shared" si="9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.75" hidden="1" customHeight="1">
      <c r="B44" s="33"/>
      <c r="C44" s="366"/>
      <c r="D44" s="279"/>
      <c r="E44" s="279"/>
      <c r="F44" s="278"/>
      <c r="G44" s="279"/>
      <c r="H44" s="396"/>
      <c r="I44" s="416"/>
      <c r="J44" s="416"/>
      <c r="K44" s="398"/>
      <c r="L44" s="276"/>
      <c r="M44" s="374"/>
      <c r="N44" s="370"/>
      <c r="O44" s="417"/>
      <c r="P44" s="369"/>
      <c r="Q44" s="347"/>
      <c r="S44" s="277">
        <f t="shared" si="9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.75" hidden="1" customHeight="1">
      <c r="B45" s="33"/>
      <c r="C45" s="366"/>
      <c r="D45" s="279"/>
      <c r="E45" s="279"/>
      <c r="F45" s="278"/>
      <c r="G45" s="279"/>
      <c r="H45" s="396"/>
      <c r="I45" s="416"/>
      <c r="J45" s="416"/>
      <c r="K45" s="398"/>
      <c r="L45" s="276"/>
      <c r="M45" s="374"/>
      <c r="N45" s="370"/>
      <c r="O45" s="417"/>
      <c r="P45" s="369"/>
      <c r="Q45" s="347"/>
      <c r="S45" s="277">
        <f t="shared" si="9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.75" hidden="1" customHeight="1">
      <c r="B46" s="33"/>
      <c r="C46" s="366"/>
      <c r="D46" s="279"/>
      <c r="E46" s="279"/>
      <c r="F46" s="278"/>
      <c r="G46" s="279"/>
      <c r="H46" s="396"/>
      <c r="I46" s="416"/>
      <c r="J46" s="416"/>
      <c r="K46" s="398"/>
      <c r="L46" s="276"/>
      <c r="M46" s="374"/>
      <c r="N46" s="370"/>
      <c r="O46" s="417"/>
      <c r="P46" s="369"/>
      <c r="Q46" s="347"/>
      <c r="S46" s="277">
        <f t="shared" si="9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.75" hidden="1" customHeight="1">
      <c r="B47" s="33"/>
      <c r="C47" s="366"/>
      <c r="D47" s="279"/>
      <c r="E47" s="279"/>
      <c r="F47" s="278"/>
      <c r="G47" s="279"/>
      <c r="H47" s="396"/>
      <c r="I47" s="416"/>
      <c r="J47" s="416"/>
      <c r="K47" s="398"/>
      <c r="L47" s="276"/>
      <c r="M47" s="374"/>
      <c r="N47" s="370"/>
      <c r="O47" s="417"/>
      <c r="P47" s="369"/>
      <c r="Q47" s="347"/>
      <c r="S47" s="277">
        <f t="shared" si="9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hidden="1" customHeight="1">
      <c r="B48" s="29"/>
      <c r="C48" s="366"/>
      <c r="D48" s="279"/>
      <c r="E48" s="279"/>
      <c r="F48" s="278"/>
      <c r="G48" s="279"/>
      <c r="H48" s="396"/>
      <c r="I48" s="368"/>
      <c r="J48" s="368"/>
      <c r="K48" s="281"/>
      <c r="L48" s="276"/>
      <c r="M48" s="397"/>
      <c r="N48" s="370"/>
      <c r="O48" s="371"/>
      <c r="P48" s="369"/>
      <c r="Q48" s="347"/>
      <c r="S48" s="277">
        <f t="shared" si="9"/>
        <v>0</v>
      </c>
      <c r="T48" s="296" t="e">
        <f t="shared" si="1"/>
        <v>#N/A</v>
      </c>
      <c r="U48" s="296" t="e">
        <f t="shared" si="2"/>
        <v>#N/A</v>
      </c>
      <c r="V48" s="297" t="e">
        <f t="shared" si="3"/>
        <v>#N/A</v>
      </c>
      <c r="W48" s="297" t="e">
        <f t="shared" si="4"/>
        <v>#N/A</v>
      </c>
      <c r="X48" s="297" t="e">
        <f t="shared" si="5"/>
        <v>#N/A</v>
      </c>
      <c r="Y48" s="297" t="e">
        <f t="shared" si="6"/>
        <v>#N/A</v>
      </c>
      <c r="Z48" s="297" t="e">
        <f t="shared" si="7"/>
        <v>#N/A</v>
      </c>
      <c r="AA48" s="296" t="e">
        <f t="shared" si="8"/>
        <v>#N/A</v>
      </c>
    </row>
    <row r="49" spans="1:27" ht="15.75" hidden="1" customHeight="1">
      <c r="B49" s="29"/>
      <c r="C49" s="366"/>
      <c r="D49" s="279"/>
      <c r="E49" s="279"/>
      <c r="F49" s="278"/>
      <c r="G49" s="279"/>
      <c r="H49" s="396"/>
      <c r="I49" s="368"/>
      <c r="J49" s="368"/>
      <c r="K49" s="281"/>
      <c r="L49" s="276"/>
      <c r="M49" s="397"/>
      <c r="N49" s="370"/>
      <c r="O49" s="371"/>
      <c r="P49" s="369"/>
      <c r="Q49" s="347"/>
      <c r="S49" s="277">
        <f t="shared" si="9"/>
        <v>0</v>
      </c>
      <c r="T49" s="296" t="e">
        <f t="shared" si="1"/>
        <v>#N/A</v>
      </c>
      <c r="U49" s="296" t="e">
        <f t="shared" si="2"/>
        <v>#N/A</v>
      </c>
      <c r="V49" s="297" t="e">
        <f t="shared" si="3"/>
        <v>#N/A</v>
      </c>
      <c r="W49" s="297" t="e">
        <f t="shared" si="4"/>
        <v>#N/A</v>
      </c>
      <c r="X49" s="297" t="e">
        <f t="shared" si="5"/>
        <v>#N/A</v>
      </c>
      <c r="Y49" s="297" t="e">
        <f t="shared" si="6"/>
        <v>#N/A</v>
      </c>
      <c r="Z49" s="297" t="e">
        <f t="shared" si="7"/>
        <v>#N/A</v>
      </c>
      <c r="AA49" s="296" t="e">
        <f t="shared" si="8"/>
        <v>#N/A</v>
      </c>
    </row>
    <row r="50" spans="1:27" ht="15.75" hidden="1" customHeight="1">
      <c r="B50" s="29"/>
      <c r="C50" s="366"/>
      <c r="D50" s="279"/>
      <c r="E50" s="279"/>
      <c r="F50" s="278"/>
      <c r="G50" s="279"/>
      <c r="H50" s="396"/>
      <c r="I50" s="368"/>
      <c r="J50" s="368"/>
      <c r="K50" s="281"/>
      <c r="L50" s="276"/>
      <c r="M50" s="397"/>
      <c r="N50" s="370"/>
      <c r="O50" s="371"/>
      <c r="P50" s="369"/>
      <c r="Q50" s="347"/>
      <c r="S50" s="277">
        <f t="shared" si="9"/>
        <v>0</v>
      </c>
      <c r="T50" s="296" t="e">
        <f t="shared" si="1"/>
        <v>#N/A</v>
      </c>
      <c r="U50" s="296" t="e">
        <f t="shared" si="2"/>
        <v>#N/A</v>
      </c>
      <c r="V50" s="297" t="e">
        <f t="shared" si="3"/>
        <v>#N/A</v>
      </c>
      <c r="W50" s="297" t="e">
        <f t="shared" si="4"/>
        <v>#N/A</v>
      </c>
      <c r="X50" s="297" t="e">
        <f t="shared" si="5"/>
        <v>#N/A</v>
      </c>
      <c r="Y50" s="297" t="e">
        <f t="shared" si="6"/>
        <v>#N/A</v>
      </c>
      <c r="Z50" s="297" t="e">
        <f t="shared" si="7"/>
        <v>#N/A</v>
      </c>
      <c r="AA50" s="296" t="e">
        <f t="shared" si="8"/>
        <v>#N/A</v>
      </c>
    </row>
    <row r="51" spans="1:27" ht="15.75" hidden="1" customHeight="1">
      <c r="B51" s="29"/>
      <c r="C51" s="366"/>
      <c r="D51" s="279"/>
      <c r="E51" s="279"/>
      <c r="F51" s="278"/>
      <c r="G51" s="279"/>
      <c r="H51" s="396"/>
      <c r="I51" s="368"/>
      <c r="J51" s="368"/>
      <c r="K51" s="281"/>
      <c r="L51" s="276"/>
      <c r="M51" s="397"/>
      <c r="N51" s="370"/>
      <c r="O51" s="371"/>
      <c r="P51" s="369"/>
      <c r="Q51" s="347"/>
      <c r="S51" s="277">
        <f t="shared" si="9"/>
        <v>0</v>
      </c>
      <c r="T51" s="296" t="e">
        <f t="shared" si="1"/>
        <v>#N/A</v>
      </c>
      <c r="U51" s="296" t="e">
        <f t="shared" si="2"/>
        <v>#N/A</v>
      </c>
      <c r="V51" s="297" t="e">
        <f t="shared" si="3"/>
        <v>#N/A</v>
      </c>
      <c r="W51" s="297" t="e">
        <f t="shared" si="4"/>
        <v>#N/A</v>
      </c>
      <c r="X51" s="297" t="e">
        <f t="shared" si="5"/>
        <v>#N/A</v>
      </c>
      <c r="Y51" s="297" t="e">
        <f t="shared" si="6"/>
        <v>#N/A</v>
      </c>
      <c r="Z51" s="297" t="e">
        <f t="shared" si="7"/>
        <v>#N/A</v>
      </c>
      <c r="AA51" s="296" t="e">
        <f t="shared" si="8"/>
        <v>#N/A</v>
      </c>
    </row>
    <row r="52" spans="1:27" ht="15.75" hidden="1" customHeight="1">
      <c r="B52" s="29"/>
      <c r="C52" s="366"/>
      <c r="D52" s="279"/>
      <c r="E52" s="279"/>
      <c r="F52" s="278"/>
      <c r="G52" s="279"/>
      <c r="H52" s="396"/>
      <c r="I52" s="368"/>
      <c r="J52" s="368"/>
      <c r="K52" s="281"/>
      <c r="L52" s="276"/>
      <c r="M52" s="397"/>
      <c r="N52" s="370"/>
      <c r="O52" s="371"/>
      <c r="P52" s="369"/>
      <c r="Q52" s="347"/>
      <c r="S52" s="277">
        <f t="shared" si="9"/>
        <v>0</v>
      </c>
      <c r="T52" s="296" t="e">
        <f t="shared" si="1"/>
        <v>#N/A</v>
      </c>
      <c r="U52" s="296" t="e">
        <f t="shared" si="2"/>
        <v>#N/A</v>
      </c>
      <c r="V52" s="297" t="e">
        <f t="shared" si="3"/>
        <v>#N/A</v>
      </c>
      <c r="W52" s="297" t="e">
        <f t="shared" si="4"/>
        <v>#N/A</v>
      </c>
      <c r="X52" s="297" t="e">
        <f t="shared" si="5"/>
        <v>#N/A</v>
      </c>
      <c r="Y52" s="297" t="e">
        <f t="shared" si="6"/>
        <v>#N/A</v>
      </c>
      <c r="Z52" s="297" t="e">
        <f t="shared" si="7"/>
        <v>#N/A</v>
      </c>
      <c r="AA52" s="296" t="e">
        <f t="shared" si="8"/>
        <v>#N/A</v>
      </c>
    </row>
    <row r="53" spans="1:27" ht="14.4" hidden="1">
      <c r="B53" s="29"/>
      <c r="C53" s="366"/>
      <c r="D53" s="279"/>
      <c r="E53" s="279"/>
      <c r="F53" s="278"/>
      <c r="G53" s="279"/>
      <c r="H53" s="396"/>
      <c r="I53" s="368"/>
      <c r="J53" s="368"/>
      <c r="K53" s="281"/>
      <c r="L53" s="276"/>
      <c r="M53" s="374"/>
      <c r="N53" s="370"/>
      <c r="O53" s="371"/>
      <c r="P53" s="369"/>
      <c r="Q53" s="347"/>
      <c r="S53" s="277">
        <f t="shared" si="9"/>
        <v>0</v>
      </c>
      <c r="T53" s="296" t="e">
        <f t="shared" si="1"/>
        <v>#N/A</v>
      </c>
      <c r="U53" s="296" t="e">
        <f t="shared" si="2"/>
        <v>#N/A</v>
      </c>
      <c r="V53" s="297" t="e">
        <f t="shared" si="3"/>
        <v>#N/A</v>
      </c>
      <c r="W53" s="297" t="e">
        <f t="shared" si="4"/>
        <v>#N/A</v>
      </c>
      <c r="X53" s="297" t="e">
        <f t="shared" si="5"/>
        <v>#N/A</v>
      </c>
      <c r="Y53" s="297" t="e">
        <f t="shared" si="6"/>
        <v>#N/A</v>
      </c>
      <c r="Z53" s="297" t="e">
        <f t="shared" si="7"/>
        <v>#N/A</v>
      </c>
      <c r="AA53" s="296" t="e">
        <f t="shared" si="8"/>
        <v>#N/A</v>
      </c>
    </row>
    <row r="54" spans="1:27" ht="15.75" customHeight="1" thickBot="1">
      <c r="B54" s="358"/>
      <c r="C54" s="358"/>
      <c r="D54" s="358"/>
      <c r="E54" s="358"/>
      <c r="F54" s="294"/>
      <c r="G54" s="294"/>
      <c r="H54" s="348"/>
      <c r="I54" s="481" t="s">
        <v>34</v>
      </c>
      <c r="J54" s="481"/>
      <c r="K54" s="481"/>
      <c r="L54" s="481"/>
      <c r="M54" s="481"/>
      <c r="N54" s="481"/>
      <c r="O54" s="1"/>
      <c r="P54" s="12"/>
      <c r="S54" s="277"/>
      <c r="T54" s="296"/>
      <c r="U54" s="296"/>
      <c r="V54" s="297"/>
      <c r="W54" s="297"/>
      <c r="X54" s="297"/>
      <c r="Y54" s="297"/>
      <c r="Z54" s="297"/>
      <c r="AA54" s="296"/>
    </row>
    <row r="55" spans="1:27" ht="15" thickBot="1">
      <c r="B55" s="388" t="s">
        <v>145</v>
      </c>
      <c r="C55" s="388"/>
      <c r="D55" s="459" t="s">
        <v>35</v>
      </c>
      <c r="E55" s="460"/>
      <c r="F55" s="294"/>
      <c r="G55" s="294"/>
      <c r="H55" s="23"/>
      <c r="I55" s="24" t="s">
        <v>17</v>
      </c>
      <c r="J55" s="25" t="s">
        <v>146</v>
      </c>
      <c r="K55" s="26" t="s">
        <v>138</v>
      </c>
      <c r="L55" s="25" t="s">
        <v>37</v>
      </c>
      <c r="M55" s="25" t="s">
        <v>38</v>
      </c>
      <c r="N55" s="27" t="s">
        <v>39</v>
      </c>
      <c r="O55" s="294"/>
      <c r="P55" s="12"/>
      <c r="S55" s="277"/>
      <c r="T55" s="296"/>
      <c r="U55" s="296"/>
      <c r="V55" s="297"/>
      <c r="W55" s="297"/>
      <c r="X55" s="297"/>
      <c r="Y55" s="297"/>
      <c r="Z55" s="297"/>
      <c r="AA55" s="296"/>
    </row>
    <row r="56" spans="1:27" ht="15" customHeight="1">
      <c r="A56" s="28"/>
      <c r="B56" s="529"/>
      <c r="C56" s="362"/>
      <c r="D56" s="485"/>
      <c r="E56" s="486"/>
      <c r="F56" s="294"/>
      <c r="G56" s="294"/>
      <c r="H56" s="294"/>
      <c r="I56" s="29" t="s">
        <v>6</v>
      </c>
      <c r="J56" s="323"/>
      <c r="K56" s="284"/>
      <c r="L56" s="302"/>
      <c r="M56" s="302">
        <f>AVERAGE([23]Brewhouse!$AU$102:$AU$171,[23]Brewhouse!$AU$173:$AU$253)</f>
        <v>95.607057306142053</v>
      </c>
      <c r="N56" s="30">
        <v>98</v>
      </c>
      <c r="O56" s="11"/>
      <c r="P56" s="31"/>
      <c r="S56" s="277"/>
      <c r="T56" s="296"/>
      <c r="U56" s="296"/>
      <c r="V56" s="297"/>
      <c r="W56" s="297"/>
      <c r="X56" s="297"/>
      <c r="Y56" s="297"/>
      <c r="Z56" s="297"/>
      <c r="AA56" s="296"/>
    </row>
    <row r="57" spans="1:27" ht="15" customHeight="1">
      <c r="A57" s="28"/>
      <c r="B57" s="530"/>
      <c r="C57" s="349"/>
      <c r="D57" s="487"/>
      <c r="E57" s="488"/>
      <c r="F57" s="294"/>
      <c r="G57" s="294"/>
      <c r="H57" s="32"/>
      <c r="I57" s="33" t="s">
        <v>9</v>
      </c>
      <c r="J57" s="323"/>
      <c r="K57" s="284"/>
      <c r="L57" s="302"/>
      <c r="M57" s="302">
        <f>AVERAGE([24]Brewhouse!$AS$15:$AS$64,[24]Brewhouse!$AS$66:$AS$102)</f>
        <v>95.902722061850838</v>
      </c>
      <c r="N57" s="30">
        <v>98</v>
      </c>
      <c r="O57" s="11"/>
      <c r="P57" s="31"/>
      <c r="S57" s="277"/>
      <c r="T57" s="296"/>
      <c r="U57" s="296"/>
      <c r="V57" s="297"/>
      <c r="W57" s="297"/>
      <c r="X57" s="297"/>
      <c r="Y57" s="297"/>
      <c r="Z57" s="297"/>
      <c r="AA57" s="296"/>
    </row>
    <row r="58" spans="1:27" ht="14.7" customHeight="1">
      <c r="A58" s="28"/>
      <c r="B58" s="530"/>
      <c r="C58" s="349"/>
      <c r="D58" s="485"/>
      <c r="E58" s="486"/>
      <c r="F58" s="294"/>
      <c r="G58" s="294"/>
      <c r="H58" s="32"/>
      <c r="I58" s="34" t="s">
        <v>12</v>
      </c>
      <c r="J58" s="280"/>
      <c r="K58" s="284"/>
      <c r="L58" s="302"/>
      <c r="M58" s="302">
        <f>AVERAGE([25]Brewhouse!$AU$4:$AU$7,[25]Brewhouse!$AU$9:$AU$22)</f>
        <v>96.218977154617249</v>
      </c>
      <c r="N58" s="30">
        <v>98</v>
      </c>
      <c r="O58" s="11"/>
      <c r="P58" s="31"/>
      <c r="S58" s="23"/>
      <c r="T58" s="1"/>
      <c r="U58" s="1"/>
      <c r="AA58" s="285"/>
    </row>
    <row r="59" spans="1:27" ht="14.7" customHeight="1">
      <c r="A59" s="28"/>
      <c r="B59" s="530"/>
      <c r="C59" s="349"/>
      <c r="D59" s="487"/>
      <c r="E59" s="488"/>
      <c r="F59" s="294"/>
      <c r="G59" s="294"/>
      <c r="H59" s="32"/>
      <c r="I59" s="22" t="s">
        <v>33</v>
      </c>
      <c r="J59" s="280"/>
      <c r="K59" s="284"/>
      <c r="L59" s="302"/>
      <c r="M59" s="302">
        <f>AVERAGE([26]Brewhouse!$AV$5:$AV$14,[26]Brewhouse!$AV$16:$AV$19)</f>
        <v>98.230957815544443</v>
      </c>
      <c r="N59" s="30">
        <v>98</v>
      </c>
      <c r="O59" s="11"/>
      <c r="P59" s="31"/>
      <c r="S59" s="23"/>
      <c r="T59" s="1"/>
      <c r="U59" s="1"/>
      <c r="AA59" s="285"/>
    </row>
    <row r="60" spans="1:27" ht="14.7" customHeight="1">
      <c r="A60" s="28"/>
      <c r="B60" s="530"/>
      <c r="C60" s="349"/>
      <c r="D60" s="485"/>
      <c r="E60" s="486"/>
      <c r="F60" s="294"/>
      <c r="G60" s="294"/>
      <c r="H60" s="32"/>
      <c r="I60" s="35" t="s">
        <v>29</v>
      </c>
      <c r="J60" s="280"/>
      <c r="K60" s="284"/>
      <c r="L60" s="302"/>
      <c r="M60" s="302"/>
      <c r="N60" s="30">
        <v>98</v>
      </c>
      <c r="O60" s="11"/>
      <c r="P60" s="31"/>
      <c r="S60" s="23"/>
    </row>
    <row r="61" spans="1:27" ht="14.7" customHeight="1">
      <c r="A61" s="28"/>
      <c r="B61" s="530"/>
      <c r="C61" s="349"/>
      <c r="D61" s="487"/>
      <c r="E61" s="488"/>
      <c r="F61" s="294"/>
      <c r="G61" s="294"/>
      <c r="H61" s="32"/>
      <c r="I61" s="36" t="s">
        <v>15</v>
      </c>
      <c r="J61" s="323"/>
      <c r="K61" s="284"/>
      <c r="L61" s="302"/>
      <c r="M61" s="302">
        <f>AVERAGE([27]Brewhouse!$AT$4:$AT$11)</f>
        <v>94.812616598822359</v>
      </c>
      <c r="N61" s="30">
        <v>98</v>
      </c>
      <c r="O61" s="11"/>
      <c r="P61" s="31"/>
      <c r="S61" s="23"/>
    </row>
    <row r="62" spans="1:27" ht="14.7" customHeight="1">
      <c r="A62" s="28"/>
      <c r="B62" s="530"/>
      <c r="C62" s="349"/>
      <c r="D62" s="485"/>
      <c r="E62" s="486"/>
      <c r="F62" s="294"/>
      <c r="G62" s="294"/>
      <c r="H62" s="32"/>
      <c r="I62" s="37" t="s">
        <v>16</v>
      </c>
      <c r="J62" s="323">
        <f>AVERAGE(I10:I17)</f>
        <v>98.065834237903474</v>
      </c>
      <c r="K62" s="284">
        <f>COUNTA([22]Brewhouse!$A$22:$A$29)</f>
        <v>8</v>
      </c>
      <c r="L62" s="302">
        <f>AVERAGE([22]Brewhouse!$AY$22:$AY$29)</f>
        <v>98.065834237903474</v>
      </c>
      <c r="M62" s="302">
        <f>AVERAGE([22]Brewhouse!$AY$6:$AY$13,[22]Brewhouse!$AY$15:$AY$20,[22]Brewhouse!$AY$22:$AY$29)</f>
        <v>95.660462473217876</v>
      </c>
      <c r="N62" s="30">
        <v>98</v>
      </c>
      <c r="O62" s="11"/>
      <c r="P62" s="31" t="s">
        <v>41</v>
      </c>
      <c r="S62" s="23"/>
      <c r="X62" s="275" t="s">
        <v>41</v>
      </c>
    </row>
    <row r="63" spans="1:27" ht="14.7" customHeight="1">
      <c r="A63" s="28"/>
      <c r="B63" s="530"/>
      <c r="C63" s="349"/>
      <c r="D63" s="487"/>
      <c r="E63" s="488"/>
      <c r="F63" s="294"/>
      <c r="G63" s="294"/>
      <c r="H63" s="32"/>
      <c r="I63" s="415" t="s">
        <v>158</v>
      </c>
      <c r="J63" s="326"/>
      <c r="K63" s="284"/>
      <c r="L63" s="305"/>
      <c r="M63" s="305">
        <f>AVERAGE([28]Brewhouse!$AU$5:$AU$8)</f>
        <v>91.006888337619571</v>
      </c>
      <c r="N63" s="30">
        <v>98</v>
      </c>
      <c r="O63" s="11"/>
      <c r="P63" s="31"/>
      <c r="S63" s="23"/>
    </row>
    <row r="64" spans="1:27" ht="14.7" customHeight="1">
      <c r="A64" s="28"/>
      <c r="B64" s="530"/>
      <c r="C64" s="349"/>
      <c r="D64" s="485"/>
      <c r="E64" s="486"/>
      <c r="F64" s="294"/>
      <c r="G64" s="294"/>
      <c r="H64" s="32"/>
      <c r="I64" s="414" t="s">
        <v>157</v>
      </c>
      <c r="J64" s="326"/>
      <c r="K64" s="284"/>
      <c r="L64" s="305"/>
      <c r="M64" s="305"/>
      <c r="N64" s="30"/>
      <c r="O64" s="11"/>
      <c r="P64" s="31"/>
      <c r="S64" s="23"/>
    </row>
    <row r="65" spans="1:57" ht="15" customHeight="1" thickBot="1">
      <c r="A65" s="28"/>
      <c r="B65" s="530"/>
      <c r="C65" s="349"/>
      <c r="D65" s="487"/>
      <c r="E65" s="488"/>
      <c r="F65" s="294"/>
      <c r="G65" s="294"/>
      <c r="H65" s="32"/>
      <c r="I65" s="410" t="s">
        <v>156</v>
      </c>
      <c r="J65" s="327"/>
      <c r="K65" s="411"/>
      <c r="L65" s="412"/>
      <c r="M65" s="412"/>
      <c r="N65" s="413">
        <v>98</v>
      </c>
      <c r="O65" s="11"/>
      <c r="P65" s="31"/>
      <c r="S65" s="23"/>
    </row>
    <row r="66" spans="1:57" ht="15" customHeight="1" thickBot="1">
      <c r="A66" s="28"/>
      <c r="B66" s="530"/>
      <c r="C66" s="349"/>
      <c r="D66" s="485"/>
      <c r="E66" s="486"/>
      <c r="F66" s="294"/>
      <c r="G66" s="294"/>
      <c r="H66" s="32"/>
      <c r="I66" s="1"/>
      <c r="J66" s="39"/>
      <c r="K66" s="408">
        <f>SUM(K56:K65)</f>
        <v>8</v>
      </c>
      <c r="L66" s="409">
        <f>((L56*K56)+(L57*K57)+(L58*K58)+(L59*K59)+(L60*K60)+(K63*L63)+(L61*K61)+(L62*K62)+(L65*K65))/(K66)</f>
        <v>98.065834237903474</v>
      </c>
      <c r="M66" s="409">
        <f>AVERAGE('[29]Jan 31st'!$L$65,'[30]Feb 28th'!$L$35,L66)</f>
        <v>96.502936888434178</v>
      </c>
      <c r="N66" s="40">
        <v>98</v>
      </c>
      <c r="O66" s="11"/>
      <c r="P66" s="31"/>
      <c r="S66" s="23"/>
    </row>
    <row r="67" spans="1:57" ht="15" thickBot="1">
      <c r="B67" s="531"/>
      <c r="C67" s="350"/>
      <c r="D67" s="487"/>
      <c r="E67" s="488"/>
      <c r="F67" s="294"/>
      <c r="G67" s="42"/>
      <c r="H67" s="41"/>
      <c r="I67" s="42"/>
      <c r="J67" s="42"/>
      <c r="K67" s="351"/>
      <c r="L67" s="348"/>
      <c r="M67" s="348"/>
      <c r="N67" s="11"/>
      <c r="O67" s="294"/>
      <c r="P67" s="12"/>
      <c r="S67" s="23"/>
    </row>
    <row r="68" spans="1:57" ht="15" thickBot="1">
      <c r="B68" s="532"/>
      <c r="C68" s="362"/>
      <c r="D68" s="498"/>
      <c r="E68" s="499"/>
      <c r="F68" s="43"/>
      <c r="G68" s="41"/>
      <c r="H68" s="41"/>
      <c r="I68" s="42"/>
      <c r="J68" s="501" t="s">
        <v>129</v>
      </c>
      <c r="K68" s="501"/>
      <c r="L68" s="294"/>
      <c r="M68" s="294"/>
      <c r="N68" s="294"/>
      <c r="O68" s="294"/>
      <c r="P68" s="12"/>
      <c r="S68" s="23" t="s">
        <v>41</v>
      </c>
    </row>
    <row r="69" spans="1:57" ht="13.5" customHeight="1" thickBot="1">
      <c r="B69" s="533"/>
      <c r="C69" s="349"/>
      <c r="D69" s="500"/>
      <c r="E69" s="488"/>
      <c r="F69" s="43"/>
      <c r="G69" s="41"/>
      <c r="H69" s="41"/>
      <c r="I69" s="42"/>
      <c r="J69" s="418" t="s">
        <v>17</v>
      </c>
      <c r="K69" s="293" t="s">
        <v>147</v>
      </c>
      <c r="L69" s="502" t="s">
        <v>136</v>
      </c>
      <c r="M69" s="502"/>
      <c r="N69" s="503"/>
      <c r="O69" s="294"/>
      <c r="P69" s="12"/>
      <c r="S69" s="23"/>
    </row>
    <row r="70" spans="1:57" ht="15" customHeight="1" thickBot="1">
      <c r="B70" s="533"/>
      <c r="C70" s="349"/>
      <c r="D70" s="504"/>
      <c r="E70" s="486"/>
      <c r="F70" s="43"/>
      <c r="G70" s="41"/>
      <c r="H70" s="41"/>
      <c r="I70" s="42"/>
      <c r="J70" s="419" t="s">
        <v>6</v>
      </c>
      <c r="K70" s="324"/>
      <c r="L70" s="343" t="s">
        <v>37</v>
      </c>
      <c r="M70" s="307" t="s">
        <v>38</v>
      </c>
      <c r="N70" s="307" t="s">
        <v>84</v>
      </c>
      <c r="O70" s="294"/>
      <c r="P70" s="12"/>
      <c r="S70" s="23"/>
    </row>
    <row r="71" spans="1:57" ht="15.75" customHeight="1" thickBot="1">
      <c r="B71" s="533"/>
      <c r="C71" s="349"/>
      <c r="D71" s="500"/>
      <c r="E71" s="488"/>
      <c r="F71" s="43"/>
      <c r="G71" s="41"/>
      <c r="H71" s="41"/>
      <c r="I71" s="42"/>
      <c r="J71" s="420" t="s">
        <v>9</v>
      </c>
      <c r="K71" s="324"/>
      <c r="L71" s="344">
        <f>AVERAGE(K80)</f>
        <v>8</v>
      </c>
      <c r="M71" s="325">
        <f>AVERAGE('[29]Jan 29th '!$M$70,'[30]Feb 28th'!$L$40,L71)</f>
        <v>7.1703296703296706</v>
      </c>
      <c r="N71" s="400"/>
      <c r="O71" s="294"/>
      <c r="P71" s="12"/>
      <c r="S71" s="23"/>
    </row>
    <row r="72" spans="1:57" ht="15" customHeight="1">
      <c r="B72" s="533"/>
      <c r="C72" s="349"/>
      <c r="D72" s="504"/>
      <c r="E72" s="486"/>
      <c r="F72" s="43"/>
      <c r="G72" s="41"/>
      <c r="H72" s="41"/>
      <c r="I72" s="42"/>
      <c r="J72" s="421" t="s">
        <v>40</v>
      </c>
      <c r="K72" s="324"/>
      <c r="L72" s="294"/>
      <c r="M72" s="294"/>
      <c r="N72" s="294"/>
      <c r="O72" s="294"/>
      <c r="P72" s="12"/>
      <c r="S72" s="23"/>
    </row>
    <row r="73" spans="1:57" ht="15" customHeight="1">
      <c r="B73" s="533"/>
      <c r="C73" s="349"/>
      <c r="D73" s="500"/>
      <c r="E73" s="488"/>
      <c r="F73" s="43"/>
      <c r="G73" s="41"/>
      <c r="H73" s="41"/>
      <c r="I73" s="42"/>
      <c r="J73" s="422" t="s">
        <v>33</v>
      </c>
      <c r="K73" s="324"/>
      <c r="L73" s="294"/>
      <c r="M73" s="294"/>
      <c r="N73" s="294"/>
      <c r="O73" s="294"/>
      <c r="P73" s="12"/>
      <c r="S73" s="23"/>
    </row>
    <row r="74" spans="1:57" ht="14.4">
      <c r="B74" s="533"/>
      <c r="C74" s="349"/>
      <c r="D74" s="504"/>
      <c r="E74" s="486"/>
      <c r="F74" s="43"/>
      <c r="G74" s="41"/>
      <c r="H74" s="41"/>
      <c r="I74" s="42"/>
      <c r="J74" s="423" t="s">
        <v>16</v>
      </c>
      <c r="K74" s="324">
        <f>COUNTA(B10:B17)</f>
        <v>8</v>
      </c>
      <c r="L74" s="294"/>
      <c r="M74" s="294"/>
      <c r="N74" s="294"/>
      <c r="O74" s="294"/>
      <c r="P74" s="12"/>
      <c r="S74" s="23"/>
      <c r="BD74" s="44"/>
      <c r="BE74" s="44"/>
    </row>
    <row r="75" spans="1:57" ht="14.4">
      <c r="B75" s="533"/>
      <c r="C75" s="349"/>
      <c r="D75" s="500"/>
      <c r="E75" s="488"/>
      <c r="F75" s="43"/>
      <c r="G75" s="41"/>
      <c r="H75" s="41"/>
      <c r="I75" s="42"/>
      <c r="J75" s="424" t="s">
        <v>15</v>
      </c>
      <c r="K75" s="324"/>
      <c r="L75" s="294"/>
      <c r="M75" s="294"/>
      <c r="N75" s="294"/>
      <c r="O75" s="294"/>
      <c r="P75" s="12"/>
      <c r="S75" s="23"/>
      <c r="BD75" s="44"/>
      <c r="BE75" s="44"/>
    </row>
    <row r="76" spans="1:57" ht="14.4">
      <c r="B76" s="533"/>
      <c r="C76" s="349"/>
      <c r="D76" s="505"/>
      <c r="E76" s="490"/>
      <c r="F76" s="43"/>
      <c r="G76" s="41"/>
      <c r="H76" s="41"/>
      <c r="I76" s="42"/>
      <c r="J76" s="424" t="s">
        <v>149</v>
      </c>
      <c r="K76" s="324"/>
      <c r="L76" s="294"/>
      <c r="M76" s="294"/>
      <c r="N76" s="294"/>
      <c r="O76" s="294"/>
      <c r="P76" s="12"/>
      <c r="S76" s="23"/>
      <c r="BD76" s="44"/>
      <c r="BE76" s="44"/>
    </row>
    <row r="77" spans="1:57" ht="15" thickBot="1">
      <c r="B77" s="534"/>
      <c r="C77" s="350"/>
      <c r="D77" s="506"/>
      <c r="E77" s="507"/>
      <c r="F77" s="43"/>
      <c r="G77" s="41"/>
      <c r="H77" s="41"/>
      <c r="I77" s="42"/>
      <c r="J77" s="424" t="s">
        <v>148</v>
      </c>
      <c r="K77" s="324"/>
      <c r="L77" s="294"/>
      <c r="M77" s="294"/>
      <c r="N77" s="294"/>
      <c r="O77" s="294"/>
      <c r="P77" s="12"/>
      <c r="S77" s="23"/>
      <c r="BD77" s="44"/>
      <c r="BE77" s="44"/>
    </row>
    <row r="78" spans="1:57" ht="17.7" customHeight="1" thickBot="1">
      <c r="B78" s="312" t="s">
        <v>139</v>
      </c>
      <c r="C78" s="313"/>
      <c r="D78" s="508" t="e">
        <f>AVERAGE(D56:E77)</f>
        <v>#DIV/0!</v>
      </c>
      <c r="E78" s="509"/>
      <c r="F78" s="43"/>
      <c r="G78" s="41"/>
      <c r="H78" s="41"/>
      <c r="I78" s="42"/>
      <c r="J78" s="425" t="s">
        <v>134</v>
      </c>
      <c r="K78" s="324"/>
      <c r="L78" s="294"/>
      <c r="M78" s="294"/>
      <c r="N78" s="294"/>
      <c r="O78" s="294"/>
      <c r="P78" s="12"/>
      <c r="S78" s="23"/>
      <c r="BD78" s="44"/>
      <c r="BE78" s="44"/>
    </row>
    <row r="79" spans="1:57" ht="17.7" customHeight="1">
      <c r="B79" s="363"/>
      <c r="C79" s="364"/>
      <c r="D79" s="365"/>
      <c r="E79" s="365"/>
      <c r="F79" s="43"/>
      <c r="G79" s="41"/>
      <c r="H79" s="41"/>
      <c r="I79" s="42"/>
      <c r="J79" s="425" t="s">
        <v>131</v>
      </c>
      <c r="K79" s="324"/>
      <c r="L79" s="294"/>
      <c r="M79" s="294"/>
      <c r="N79" s="294"/>
      <c r="O79" s="294"/>
      <c r="P79" s="12"/>
      <c r="S79" s="23"/>
      <c r="BD79" s="44"/>
      <c r="BE79" s="44"/>
    </row>
    <row r="80" spans="1:57" ht="15.75" customHeight="1">
      <c r="B80" s="45"/>
      <c r="C80" s="11"/>
      <c r="D80" s="11"/>
      <c r="E80" s="46"/>
      <c r="F80" s="23"/>
      <c r="G80" s="11"/>
      <c r="H80" s="41"/>
      <c r="I80" s="42"/>
      <c r="J80" s="426" t="s">
        <v>130</v>
      </c>
      <c r="K80" s="324">
        <f>SUM(K70:K79)</f>
        <v>8</v>
      </c>
      <c r="L80" s="294"/>
      <c r="M80" s="294"/>
      <c r="N80" s="294"/>
      <c r="O80" s="294"/>
      <c r="P80" s="12"/>
    </row>
    <row r="81" spans="2:58" ht="20.25" customHeight="1">
      <c r="B81" s="15" t="s">
        <v>42</v>
      </c>
      <c r="C81" s="1" t="s">
        <v>43</v>
      </c>
      <c r="D81" s="1"/>
      <c r="E81" s="1"/>
      <c r="I81" s="42"/>
      <c r="L81" s="294"/>
      <c r="P81" s="334"/>
    </row>
    <row r="82" spans="2:58" ht="15" customHeight="1" thickBot="1"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8"/>
      <c r="O82" s="48"/>
      <c r="P82" s="49"/>
      <c r="X82" s="275" t="s">
        <v>41</v>
      </c>
    </row>
    <row r="83" spans="2:58" ht="15" customHeight="1" thickBot="1">
      <c r="B83" s="510" t="s">
        <v>17</v>
      </c>
      <c r="C83" s="510" t="s">
        <v>44</v>
      </c>
      <c r="D83" s="512" t="s">
        <v>45</v>
      </c>
      <c r="E83" s="467" t="s">
        <v>46</v>
      </c>
      <c r="F83" s="527" t="s">
        <v>47</v>
      </c>
      <c r="G83" s="521" t="s">
        <v>48</v>
      </c>
      <c r="H83" s="510" t="s">
        <v>49</v>
      </c>
      <c r="I83" s="510" t="s">
        <v>50</v>
      </c>
      <c r="J83" s="515" t="s">
        <v>28</v>
      </c>
      <c r="K83" s="465" t="s">
        <v>51</v>
      </c>
      <c r="L83" s="477" t="s">
        <v>52</v>
      </c>
      <c r="M83" s="515" t="s">
        <v>53</v>
      </c>
      <c r="N83" s="77"/>
      <c r="O83" s="13"/>
      <c r="P83" s="50"/>
    </row>
    <row r="84" spans="2:58" ht="28.5" customHeight="1" thickTop="1" thickBot="1">
      <c r="B84" s="511"/>
      <c r="C84" s="511"/>
      <c r="D84" s="513"/>
      <c r="E84" s="514"/>
      <c r="F84" s="528"/>
      <c r="G84" s="522"/>
      <c r="H84" s="511"/>
      <c r="I84" s="511"/>
      <c r="J84" s="516"/>
      <c r="K84" s="525"/>
      <c r="L84" s="526"/>
      <c r="M84" s="516"/>
      <c r="N84" s="77"/>
      <c r="O84" s="13"/>
      <c r="P84" s="50"/>
      <c r="Q84" s="355"/>
      <c r="R84" s="355"/>
      <c r="S84" s="355"/>
      <c r="T84" s="355"/>
      <c r="U84" s="51">
        <v>43466</v>
      </c>
      <c r="V84" s="51">
        <v>43467</v>
      </c>
      <c r="W84" s="51">
        <v>43468</v>
      </c>
      <c r="X84" s="51">
        <v>43469</v>
      </c>
      <c r="Y84" s="51">
        <v>43470</v>
      </c>
      <c r="Z84" s="51">
        <v>43471</v>
      </c>
      <c r="AA84" s="51">
        <v>43472</v>
      </c>
      <c r="AB84" s="51">
        <v>43473</v>
      </c>
      <c r="AC84" s="51">
        <v>43474</v>
      </c>
      <c r="AD84" s="51">
        <v>43475</v>
      </c>
      <c r="AE84" s="51">
        <v>43476</v>
      </c>
      <c r="AF84" s="51">
        <v>43477</v>
      </c>
      <c r="AG84" s="51">
        <v>43478</v>
      </c>
      <c r="AH84" s="51">
        <v>43479</v>
      </c>
      <c r="AI84" s="51">
        <v>43480</v>
      </c>
      <c r="AJ84" s="51">
        <v>43481</v>
      </c>
      <c r="AK84" s="51">
        <v>43482</v>
      </c>
      <c r="AL84" s="51">
        <v>43483</v>
      </c>
      <c r="AM84" s="51">
        <v>43484</v>
      </c>
      <c r="AN84" s="51">
        <v>43485</v>
      </c>
      <c r="AO84" s="51">
        <v>43486</v>
      </c>
      <c r="AP84" s="51">
        <v>43487</v>
      </c>
      <c r="AQ84" s="51">
        <v>43488</v>
      </c>
      <c r="AR84" s="51">
        <v>43489</v>
      </c>
      <c r="AS84" s="51">
        <v>43490</v>
      </c>
      <c r="AT84" s="51">
        <v>43491</v>
      </c>
      <c r="AU84" s="51">
        <v>43492</v>
      </c>
      <c r="AV84" s="51">
        <v>43493</v>
      </c>
      <c r="AW84" s="51">
        <v>43494</v>
      </c>
      <c r="AX84" s="51">
        <v>43495</v>
      </c>
      <c r="AY84" s="51">
        <v>43496</v>
      </c>
    </row>
    <row r="85" spans="2:58" s="54" customFormat="1" ht="56.4" customHeight="1" thickBot="1">
      <c r="B85" s="430"/>
      <c r="C85" s="283"/>
      <c r="D85" s="377"/>
      <c r="E85" s="378"/>
      <c r="F85" s="379"/>
      <c r="G85" s="303"/>
      <c r="H85" s="431"/>
      <c r="I85" s="431"/>
      <c r="J85" s="432"/>
      <c r="K85" s="433"/>
      <c r="L85" s="314"/>
      <c r="M85" s="357"/>
      <c r="N85" s="13"/>
      <c r="O85" s="13"/>
      <c r="P85" s="50"/>
      <c r="T85" s="272" t="s">
        <v>54</v>
      </c>
      <c r="U85" s="279"/>
      <c r="V85" s="279"/>
      <c r="W85" s="279"/>
      <c r="X85" s="279"/>
      <c r="Y85" s="279"/>
      <c r="Z85" s="279"/>
      <c r="AA85" s="279"/>
      <c r="AB85" s="279"/>
      <c r="AC85" s="279"/>
      <c r="AD85" s="279"/>
      <c r="AE85" s="279"/>
      <c r="AF85" s="279"/>
      <c r="AG85" s="279"/>
      <c r="AH85" s="279"/>
      <c r="AI85" s="279"/>
      <c r="AJ85" s="279"/>
      <c r="AK85" s="279"/>
      <c r="AL85" s="279"/>
      <c r="AM85" s="279"/>
      <c r="AN85" s="279"/>
      <c r="AO85" s="279"/>
      <c r="AP85" s="279"/>
      <c r="AQ85" s="279"/>
      <c r="AR85" s="279"/>
      <c r="AS85" s="279"/>
      <c r="AT85" s="279"/>
      <c r="AU85" s="279"/>
      <c r="AV85" s="279"/>
      <c r="AW85" s="279"/>
      <c r="AX85" s="279"/>
    </row>
    <row r="86" spans="2:58" s="54" customFormat="1" ht="18.75" customHeight="1" thickBot="1">
      <c r="B86" s="387"/>
      <c r="C86" s="283"/>
      <c r="D86" s="279"/>
      <c r="E86" s="279"/>
      <c r="F86" s="279"/>
      <c r="G86" s="279"/>
      <c r="H86" s="320"/>
      <c r="I86" s="322"/>
      <c r="J86" s="389"/>
      <c r="K86" s="434"/>
      <c r="L86" s="314"/>
      <c r="M86" s="384"/>
      <c r="N86" s="13"/>
      <c r="O86" s="13"/>
      <c r="P86" s="50"/>
      <c r="T86" s="272" t="s">
        <v>51</v>
      </c>
      <c r="U86" s="57" t="e">
        <f>[20]January_2019!D8</f>
        <v>#DIV/0!</v>
      </c>
      <c r="V86" s="57">
        <f>[20]January_2019!E8</f>
        <v>1.0319298245614037</v>
      </c>
      <c r="W86" s="57">
        <f>[20]January_2019!F8</f>
        <v>1.7789473684210526</v>
      </c>
      <c r="X86" s="57">
        <f>[20]January_2019!G8</f>
        <v>0.51929824561403504</v>
      </c>
      <c r="Y86" s="57" t="e">
        <f>[20]January_2019!H8</f>
        <v>#DIV/0!</v>
      </c>
      <c r="Z86" s="57" t="e">
        <f>[20]January_2019!I8</f>
        <v>#DIV/0!</v>
      </c>
      <c r="AA86" s="57">
        <f>[20]January_2019!J8</f>
        <v>1.365263157894737</v>
      </c>
      <c r="AB86" s="57" t="e">
        <f>[20]January_2019!K8</f>
        <v>#DIV/0!</v>
      </c>
      <c r="AC86" s="57">
        <f>[20]January_2019!L8</f>
        <v>1.0028070175438597</v>
      </c>
      <c r="AD86" s="57">
        <f>[20]January_2019!M8</f>
        <v>1.7828070175438597</v>
      </c>
      <c r="AE86" s="57" t="e">
        <f>[20]January_2019!N8</f>
        <v>#DIV/0!</v>
      </c>
      <c r="AF86" s="57" t="e">
        <f>[20]January_2019!O8</f>
        <v>#DIV/0!</v>
      </c>
      <c r="AG86" s="57">
        <f>[20]January_2019!P8</f>
        <v>0.19222222222222221</v>
      </c>
      <c r="AH86" s="57">
        <f>[20]January_2019!Q8</f>
        <v>0.52219298245614032</v>
      </c>
      <c r="AI86" s="57">
        <f>[20]January_2019!R8</f>
        <v>0.42912280701754385</v>
      </c>
      <c r="AJ86" s="57" t="e">
        <f>[20]January_2019!S8</f>
        <v>#DIV/0!</v>
      </c>
      <c r="AK86" s="57">
        <f>[20]January_2019!T8</f>
        <v>1.0340350877192983</v>
      </c>
      <c r="AL86" s="57">
        <f>[20]January_2019!U8</f>
        <v>0.98421052631578942</v>
      </c>
      <c r="AM86" s="57" t="e">
        <f>[20]January_2019!V8</f>
        <v>#DIV/0!</v>
      </c>
      <c r="AN86" s="57" t="e">
        <f>[20]January_2019!W8</f>
        <v>#DIV/0!</v>
      </c>
      <c r="AO86" s="57">
        <f>[20]January_2019!X8</f>
        <v>0.66052631578947374</v>
      </c>
      <c r="AP86" s="57">
        <f>[20]January_2019!Y8</f>
        <v>1.0375438596491227</v>
      </c>
      <c r="AQ86" s="57">
        <f>[20]January_2019!Z8</f>
        <v>0.90456140350877201</v>
      </c>
      <c r="AR86" s="57">
        <f>[20]January_2019!AA8</f>
        <v>1.0217543859649123</v>
      </c>
      <c r="AS86" s="57">
        <f>[20]January_2019!AB8</f>
        <v>0.65614035087719302</v>
      </c>
      <c r="AT86" s="57" t="e">
        <f>[20]January_2019!AC8</f>
        <v>#DIV/0!</v>
      </c>
      <c r="AU86" s="57" t="e">
        <f>[20]January_2019!AD8</f>
        <v>#DIV/0!</v>
      </c>
      <c r="AV86" s="57">
        <f>[20]January_2019!AE8</f>
        <v>1.7021052631578948</v>
      </c>
      <c r="AW86" s="57">
        <f>[20]January_2019!AF8</f>
        <v>0.60192982456140354</v>
      </c>
      <c r="AX86" s="57">
        <f>[20]January_2019!AG8</f>
        <v>1.4870175438596491</v>
      </c>
      <c r="AY86" s="277" t="e">
        <f>[20]January_2019!AH8</f>
        <v>#DIV/0!</v>
      </c>
      <c r="AZ86" s="277"/>
      <c r="BA86" s="277"/>
      <c r="BB86" s="277"/>
      <c r="BC86" s="277"/>
      <c r="BD86" s="277"/>
      <c r="BE86" s="277"/>
      <c r="BF86" s="277"/>
    </row>
    <row r="87" spans="2:58" s="54" customFormat="1" ht="42" hidden="1" customHeight="1" thickBot="1">
      <c r="B87" s="435"/>
      <c r="C87" s="283"/>
      <c r="D87" s="279"/>
      <c r="E87" s="279"/>
      <c r="F87" s="279"/>
      <c r="G87" s="279"/>
      <c r="H87" s="431"/>
      <c r="I87" s="431"/>
      <c r="J87" s="432"/>
      <c r="K87" s="436"/>
      <c r="L87" s="314"/>
      <c r="M87" s="357"/>
      <c r="N87" s="13"/>
      <c r="O87" s="13"/>
      <c r="P87" s="50"/>
      <c r="T87" s="272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277"/>
      <c r="AZ87" s="277"/>
      <c r="BA87" s="277"/>
      <c r="BB87" s="277"/>
      <c r="BC87" s="277"/>
      <c r="BD87" s="277"/>
      <c r="BE87" s="277"/>
      <c r="BF87" s="277"/>
    </row>
    <row r="88" spans="2:58" s="54" customFormat="1" ht="14.4" hidden="1" thickBot="1">
      <c r="B88" s="361"/>
      <c r="C88" s="283"/>
      <c r="D88" s="304"/>
      <c r="E88" s="279"/>
      <c r="F88" s="279"/>
      <c r="G88" s="279"/>
      <c r="H88" s="381"/>
      <c r="I88" s="382"/>
      <c r="J88" s="389"/>
      <c r="K88" s="376"/>
      <c r="L88" s="314"/>
      <c r="M88" s="354"/>
      <c r="N88" s="13"/>
      <c r="O88" s="13"/>
      <c r="P88" s="50"/>
      <c r="T88" s="272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7"/>
      <c r="AZ88" s="277"/>
      <c r="BA88" s="277"/>
      <c r="BB88" s="277"/>
      <c r="BC88" s="277"/>
      <c r="BD88" s="277"/>
      <c r="BE88" s="277"/>
      <c r="BF88" s="277"/>
    </row>
    <row r="89" spans="2:58" s="54" customFormat="1" ht="45.75" hidden="1" customHeight="1" thickBot="1">
      <c r="B89" s="427"/>
      <c r="C89" s="283"/>
      <c r="D89" s="279"/>
      <c r="E89" s="279"/>
      <c r="F89" s="279"/>
      <c r="G89" s="279"/>
      <c r="H89" s="320"/>
      <c r="I89" s="322"/>
      <c r="J89" s="390" t="s">
        <v>160</v>
      </c>
      <c r="K89" s="286"/>
      <c r="L89" s="314"/>
      <c r="M89" s="384"/>
      <c r="N89" s="13"/>
      <c r="O89" s="13"/>
      <c r="P89" s="50"/>
      <c r="T89" s="272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7"/>
      <c r="AZ89" s="277"/>
      <c r="BA89" s="277"/>
      <c r="BB89" s="277"/>
      <c r="BC89" s="277"/>
      <c r="BD89" s="277"/>
      <c r="BE89" s="277"/>
      <c r="BF89" s="277"/>
    </row>
    <row r="90" spans="2:58" s="54" customFormat="1" ht="45.75" hidden="1" customHeight="1">
      <c r="B90" s="387"/>
      <c r="C90" s="283"/>
      <c r="D90" s="279"/>
      <c r="E90" s="279"/>
      <c r="F90" s="279"/>
      <c r="G90" s="279"/>
      <c r="H90" s="320"/>
      <c r="I90" s="322"/>
      <c r="J90" s="281"/>
      <c r="K90" s="286"/>
      <c r="L90" s="314"/>
      <c r="M90" s="339"/>
      <c r="N90" s="13"/>
      <c r="O90" s="13"/>
      <c r="P90" s="50"/>
      <c r="T90" s="272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277"/>
      <c r="AZ90" s="277"/>
      <c r="BA90" s="277"/>
      <c r="BB90" s="277"/>
      <c r="BC90" s="277"/>
      <c r="BD90" s="277"/>
      <c r="BE90" s="277"/>
      <c r="BF90" s="277"/>
    </row>
    <row r="91" spans="2:58" ht="11.4" hidden="1" customHeight="1" thickBot="1">
      <c r="B91" s="33"/>
      <c r="C91" s="310"/>
      <c r="D91" s="279"/>
      <c r="E91" s="279"/>
      <c r="F91" s="279"/>
      <c r="G91" s="279"/>
      <c r="H91" s="352"/>
      <c r="I91" s="353"/>
      <c r="J91" s="281"/>
      <c r="K91" s="52"/>
      <c r="L91" s="53"/>
      <c r="M91" s="55"/>
      <c r="N91" s="77"/>
      <c r="O91" s="13"/>
      <c r="P91" s="56"/>
    </row>
    <row r="92" spans="2:58" ht="14.4" thickBot="1">
      <c r="B92" s="58"/>
      <c r="C92" s="309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9"/>
      <c r="O92" s="56"/>
      <c r="P92" s="60"/>
    </row>
    <row r="93" spans="2:58" ht="14.4" thickBot="1">
      <c r="B93" s="517" t="s">
        <v>55</v>
      </c>
      <c r="C93" s="518"/>
      <c r="D93" s="518"/>
      <c r="E93" s="518"/>
      <c r="F93" s="519"/>
      <c r="G93" s="517" t="s">
        <v>56</v>
      </c>
      <c r="H93" s="518"/>
      <c r="I93" s="518"/>
      <c r="J93" s="519"/>
      <c r="K93" s="517" t="s">
        <v>51</v>
      </c>
      <c r="L93" s="518"/>
      <c r="M93" s="518"/>
      <c r="N93" s="520"/>
      <c r="O93" s="56"/>
      <c r="P93" s="50"/>
    </row>
    <row r="94" spans="2:58">
      <c r="B94" s="61" t="s">
        <v>17</v>
      </c>
      <c r="C94" s="62" t="s">
        <v>36</v>
      </c>
      <c r="D94" s="62" t="s">
        <v>37</v>
      </c>
      <c r="E94" s="62" t="s">
        <v>38</v>
      </c>
      <c r="F94" s="63" t="s">
        <v>39</v>
      </c>
      <c r="G94" s="62" t="s">
        <v>36</v>
      </c>
      <c r="H94" s="62" t="s">
        <v>37</v>
      </c>
      <c r="I94" s="62" t="s">
        <v>38</v>
      </c>
      <c r="J94" s="63" t="s">
        <v>39</v>
      </c>
      <c r="K94" s="62" t="s">
        <v>36</v>
      </c>
      <c r="L94" s="62" t="s">
        <v>37</v>
      </c>
      <c r="M94" s="62" t="s">
        <v>38</v>
      </c>
      <c r="N94" s="63" t="s">
        <v>39</v>
      </c>
      <c r="O94" s="56"/>
      <c r="P94" s="64"/>
    </row>
    <row r="95" spans="2:58">
      <c r="B95" s="29" t="s">
        <v>6</v>
      </c>
      <c r="C95" s="65"/>
      <c r="D95" s="76"/>
      <c r="E95" s="76">
        <v>7.106083959082091</v>
      </c>
      <c r="F95" s="66">
        <v>4.8</v>
      </c>
      <c r="G95" s="65"/>
      <c r="H95" s="76"/>
      <c r="I95" s="76">
        <v>9.2783449314619784</v>
      </c>
      <c r="J95" s="66">
        <v>4.8</v>
      </c>
      <c r="K95" s="67"/>
      <c r="L95" s="194"/>
      <c r="M95" s="194">
        <v>0.98457735247208944</v>
      </c>
      <c r="N95" s="68">
        <v>1</v>
      </c>
      <c r="O95" s="56"/>
      <c r="P95" s="69"/>
    </row>
    <row r="96" spans="2:58">
      <c r="B96" s="33" t="s">
        <v>9</v>
      </c>
      <c r="C96" s="65"/>
      <c r="D96" s="76"/>
      <c r="E96" s="76">
        <v>7.004993363475684</v>
      </c>
      <c r="F96" s="66">
        <v>4.8</v>
      </c>
      <c r="G96" s="65"/>
      <c r="H96" s="76"/>
      <c r="I96" s="76">
        <v>10.863101163921975</v>
      </c>
      <c r="J96" s="66">
        <v>4.8</v>
      </c>
      <c r="K96" s="67"/>
      <c r="L96" s="194"/>
      <c r="M96" s="194">
        <v>0.97131578947368413</v>
      </c>
      <c r="N96" s="68">
        <v>1</v>
      </c>
      <c r="P96" s="69"/>
    </row>
    <row r="97" spans="2:16">
      <c r="B97" s="34" t="s">
        <v>40</v>
      </c>
      <c r="C97" s="65"/>
      <c r="D97" s="76"/>
      <c r="E97" s="76">
        <v>9.8890462479248846</v>
      </c>
      <c r="F97" s="66">
        <v>5.5</v>
      </c>
      <c r="G97" s="65"/>
      <c r="H97" s="76"/>
      <c r="I97" s="76">
        <v>2.6473552031086438</v>
      </c>
      <c r="J97" s="66">
        <v>5.5</v>
      </c>
      <c r="K97" s="67"/>
      <c r="L97" s="194"/>
      <c r="M97" s="194">
        <v>1.0392982456140349</v>
      </c>
      <c r="N97" s="68">
        <v>1</v>
      </c>
      <c r="P97" s="69"/>
    </row>
    <row r="98" spans="2:16">
      <c r="B98" s="22" t="s">
        <v>33</v>
      </c>
      <c r="C98" s="65"/>
      <c r="D98" s="76"/>
      <c r="E98" s="76">
        <v>3.4056869935468166</v>
      </c>
      <c r="F98" s="66">
        <v>3.3</v>
      </c>
      <c r="G98" s="65"/>
      <c r="H98" s="76"/>
      <c r="I98" s="76">
        <v>6.6434583413343296</v>
      </c>
      <c r="J98" s="66">
        <v>3.3</v>
      </c>
      <c r="K98" s="67"/>
      <c r="L98" s="194"/>
      <c r="M98" s="194">
        <v>0.83350877192982453</v>
      </c>
      <c r="N98" s="68">
        <v>1</v>
      </c>
      <c r="P98" s="69"/>
    </row>
    <row r="99" spans="2:16">
      <c r="B99" s="35" t="s">
        <v>29</v>
      </c>
      <c r="C99" s="65"/>
      <c r="D99" s="76"/>
      <c r="E99" s="76">
        <v>8.8295687885010352</v>
      </c>
      <c r="F99" s="66">
        <v>3.3</v>
      </c>
      <c r="G99" s="282"/>
      <c r="H99" s="76"/>
      <c r="I99" s="76"/>
      <c r="J99" s="66">
        <v>3</v>
      </c>
      <c r="K99" s="67"/>
      <c r="L99" s="194"/>
      <c r="M99" s="194"/>
      <c r="N99" s="68">
        <v>1</v>
      </c>
      <c r="P99" s="69"/>
    </row>
    <row r="100" spans="2:16">
      <c r="B100" s="36" t="s">
        <v>15</v>
      </c>
      <c r="C100" s="282"/>
      <c r="D100" s="76"/>
      <c r="E100" s="76">
        <v>9.9698850155137997</v>
      </c>
      <c r="F100" s="70">
        <f>[21]May_2022!$M$43</f>
        <v>3.4878406700073312</v>
      </c>
      <c r="G100" s="282"/>
      <c r="H100" s="76"/>
      <c r="I100" s="76">
        <v>10.607235567685406</v>
      </c>
      <c r="J100" s="70">
        <v>5.5</v>
      </c>
      <c r="K100" s="67"/>
      <c r="L100" s="194"/>
      <c r="M100" s="194">
        <v>0.66824561403508764</v>
      </c>
      <c r="N100" s="68">
        <v>1</v>
      </c>
      <c r="P100" s="69"/>
    </row>
    <row r="101" spans="2:16">
      <c r="B101" s="37" t="s">
        <v>16</v>
      </c>
      <c r="C101" s="65"/>
      <c r="D101" s="76"/>
      <c r="E101" s="76">
        <v>4.8517239584237002</v>
      </c>
      <c r="F101" s="70">
        <v>3.3</v>
      </c>
      <c r="G101" s="282"/>
      <c r="H101" s="76"/>
      <c r="I101" s="76">
        <v>4.0624079285034069</v>
      </c>
      <c r="J101" s="70">
        <v>3.3</v>
      </c>
      <c r="K101" s="67"/>
      <c r="L101" s="194"/>
      <c r="M101" s="194">
        <v>0.69842105263157894</v>
      </c>
      <c r="N101" s="71">
        <v>1</v>
      </c>
      <c r="P101" s="69"/>
    </row>
    <row r="102" spans="2:16" ht="14.4" thickBot="1">
      <c r="B102" s="38" t="s">
        <v>127</v>
      </c>
      <c r="C102" s="65"/>
      <c r="D102" s="76"/>
      <c r="E102" s="76">
        <v>14.011127971674247</v>
      </c>
      <c r="F102" s="72">
        <v>7.5</v>
      </c>
      <c r="G102" s="73"/>
      <c r="H102" s="76"/>
      <c r="I102" s="76"/>
      <c r="J102" s="72">
        <v>7.5</v>
      </c>
      <c r="K102" s="67"/>
      <c r="L102" s="194"/>
      <c r="M102" s="194"/>
      <c r="N102" s="71">
        <v>1</v>
      </c>
      <c r="P102" s="69"/>
    </row>
    <row r="103" spans="2:16">
      <c r="C103" s="65"/>
      <c r="D103" s="76"/>
      <c r="E103" s="76">
        <v>6.9805898992531867</v>
      </c>
      <c r="F103" s="341">
        <v>4.5</v>
      </c>
      <c r="G103" s="74"/>
      <c r="H103" s="76"/>
      <c r="I103" s="76">
        <v>8.4621419756075049</v>
      </c>
      <c r="J103" s="342">
        <v>4.5</v>
      </c>
      <c r="K103" s="67"/>
      <c r="L103" s="194"/>
      <c r="M103" s="194">
        <v>0.91614832535885182</v>
      </c>
      <c r="N103" s="386">
        <v>1</v>
      </c>
      <c r="O103" s="74"/>
      <c r="P103" s="75"/>
    </row>
    <row r="108" spans="2:16">
      <c r="F108" s="315"/>
    </row>
    <row r="116" spans="30:30">
      <c r="AD116" s="275" t="s">
        <v>57</v>
      </c>
    </row>
  </sheetData>
  <mergeCells count="52">
    <mergeCell ref="M83:M84"/>
    <mergeCell ref="B93:F93"/>
    <mergeCell ref="G93:J93"/>
    <mergeCell ref="K93:N93"/>
    <mergeCell ref="G83:G84"/>
    <mergeCell ref="H83:H84"/>
    <mergeCell ref="I83:I84"/>
    <mergeCell ref="J83:J84"/>
    <mergeCell ref="K83:K84"/>
    <mergeCell ref="L83:L84"/>
    <mergeCell ref="F83:F84"/>
    <mergeCell ref="D78:E78"/>
    <mergeCell ref="B83:B84"/>
    <mergeCell ref="C83:C84"/>
    <mergeCell ref="D83:D84"/>
    <mergeCell ref="E83:E84"/>
    <mergeCell ref="B68:B77"/>
    <mergeCell ref="D68:E69"/>
    <mergeCell ref="J68:K68"/>
    <mergeCell ref="L69:N69"/>
    <mergeCell ref="D70:E71"/>
    <mergeCell ref="D72:E73"/>
    <mergeCell ref="D74:E75"/>
    <mergeCell ref="D76:E77"/>
    <mergeCell ref="C4:D4"/>
    <mergeCell ref="M4:N4"/>
    <mergeCell ref="I54:N54"/>
    <mergeCell ref="D55:E55"/>
    <mergeCell ref="B56:B67"/>
    <mergeCell ref="D56:E57"/>
    <mergeCell ref="D58:E59"/>
    <mergeCell ref="D60:E61"/>
    <mergeCell ref="D62:E63"/>
    <mergeCell ref="D64:E65"/>
    <mergeCell ref="D66:E67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78:B79">
    <cfRule type="cellIs" dxfId="3182" priority="203" operator="notBetween">
      <formula>#REF!</formula>
      <formula>#REF!</formula>
    </cfRule>
  </conditionalFormatting>
  <conditionalFormatting sqref="C82">
    <cfRule type="cellIs" dxfId="3181" priority="235" stopIfTrue="1" operator="greaterThan">
      <formula>100</formula>
    </cfRule>
    <cfRule type="cellIs" dxfId="3180" priority="234" stopIfTrue="1" operator="lessThan">
      <formula>96</formula>
    </cfRule>
  </conditionalFormatting>
  <conditionalFormatting sqref="C95">
    <cfRule type="cellIs" dxfId="3179" priority="123" stopIfTrue="1" operator="greaterThan">
      <formula>$F95</formula>
    </cfRule>
  </conditionalFormatting>
  <conditionalFormatting sqref="C95:C96">
    <cfRule type="cellIs" dxfId="3178" priority="124" stopIfTrue="1" operator="lessThanOrEqual">
      <formula>0</formula>
    </cfRule>
  </conditionalFormatting>
  <conditionalFormatting sqref="C96">
    <cfRule type="cellIs" dxfId="3177" priority="238" stopIfTrue="1" operator="greaterThan">
      <formula>$F95</formula>
    </cfRule>
  </conditionalFormatting>
  <conditionalFormatting sqref="C97:C99">
    <cfRule type="cellIs" dxfId="3176" priority="153" stopIfTrue="1" operator="greaterThan">
      <formula>$F97</formula>
    </cfRule>
  </conditionalFormatting>
  <conditionalFormatting sqref="C97:C100">
    <cfRule type="cellIs" dxfId="3175" priority="176" stopIfTrue="1" operator="lessThanOrEqual">
      <formula>0</formula>
    </cfRule>
  </conditionalFormatting>
  <conditionalFormatting sqref="C100">
    <cfRule type="cellIs" dxfId="3174" priority="175" stopIfTrue="1" operator="greaterThan">
      <formula>$J100</formula>
    </cfRule>
  </conditionalFormatting>
  <conditionalFormatting sqref="C106:C110">
    <cfRule type="cellIs" dxfId="3173" priority="226" stopIfTrue="1" operator="lessThanOrEqual">
      <formula>0</formula>
    </cfRule>
  </conditionalFormatting>
  <conditionalFormatting sqref="C107:C110">
    <cfRule type="cellIs" dxfId="3172" priority="225" stopIfTrue="1" operator="greaterThan">
      <formula>$F$106</formula>
    </cfRule>
  </conditionalFormatting>
  <conditionalFormatting sqref="C112">
    <cfRule type="cellIs" dxfId="3171" priority="228" stopIfTrue="1" operator="lessThanOrEqual">
      <formula>0</formula>
    </cfRule>
    <cfRule type="cellIs" dxfId="3170" priority="227" stopIfTrue="1" operator="greaterThan">
      <formula>$F$106</formula>
    </cfRule>
  </conditionalFormatting>
  <conditionalFormatting sqref="C106:D106 D108:D114">
    <cfRule type="cellIs" dxfId="3169" priority="220" stopIfTrue="1" operator="greaterThan">
      <formula>4.5</formula>
    </cfRule>
  </conditionalFormatting>
  <conditionalFormatting sqref="D78:D79">
    <cfRule type="cellIs" dxfId="3168" priority="204" operator="notBetween">
      <formula>#REF!</formula>
      <formula>#REF!</formula>
    </cfRule>
  </conditionalFormatting>
  <conditionalFormatting sqref="D95:D102">
    <cfRule type="cellIs" dxfId="3167" priority="190" stopIfTrue="1" operator="lessThanOrEqual">
      <formula>0</formula>
    </cfRule>
  </conditionalFormatting>
  <conditionalFormatting sqref="D103">
    <cfRule type="cellIs" dxfId="3166" priority="189" stopIfTrue="1" operator="lessThanOrEqual">
      <formula>0</formula>
    </cfRule>
  </conditionalFormatting>
  <conditionalFormatting sqref="D106 D108:D114">
    <cfRule type="cellIs" dxfId="3165" priority="221" stopIfTrue="1" operator="lessThanOrEqual">
      <formula>0</formula>
    </cfRule>
  </conditionalFormatting>
  <conditionalFormatting sqref="D107">
    <cfRule type="cellIs" dxfId="3164" priority="213" stopIfTrue="1" operator="lessThanOrEqual">
      <formula>0</formula>
    </cfRule>
    <cfRule type="cellIs" dxfId="3163" priority="212" stopIfTrue="1" operator="greaterThan">
      <formula>$F$106</formula>
    </cfRule>
  </conditionalFormatting>
  <conditionalFormatting sqref="D95:E103">
    <cfRule type="cellIs" dxfId="3162" priority="182" stopIfTrue="1" operator="greaterThan">
      <formula>$F95</formula>
    </cfRule>
  </conditionalFormatting>
  <conditionalFormatting sqref="E82">
    <cfRule type="cellIs" dxfId="3161" priority="215" stopIfTrue="1" operator="greaterThan">
      <formula>100</formula>
    </cfRule>
    <cfRule type="cellIs" dxfId="3160" priority="214" stopIfTrue="1" operator="lessThan">
      <formula>96.8</formula>
    </cfRule>
  </conditionalFormatting>
  <conditionalFormatting sqref="E95:E103">
    <cfRule type="cellIs" dxfId="3159" priority="183" stopIfTrue="1" operator="lessThanOrEqual">
      <formula>0</formula>
    </cfRule>
  </conditionalFormatting>
  <conditionalFormatting sqref="E106:E114">
    <cfRule type="cellIs" dxfId="3158" priority="207" stopIfTrue="1" operator="lessThanOrEqual">
      <formula>0</formula>
    </cfRule>
    <cfRule type="cellIs" dxfId="3157" priority="206" stopIfTrue="1" operator="greaterThan">
      <formula>4.5</formula>
    </cfRule>
  </conditionalFormatting>
  <conditionalFormatting sqref="E10:F10 E11:G11 E12:F12 E13:G14 E15:F17 E18:G19 E20:E53">
    <cfRule type="cellIs" dxfId="3156" priority="59" operator="lessThan">
      <formula>48</formula>
    </cfRule>
  </conditionalFormatting>
  <conditionalFormatting sqref="E81:F82">
    <cfRule type="cellIs" dxfId="3155" priority="217" stopIfTrue="1" operator="greaterThan">
      <formula>100</formula>
    </cfRule>
    <cfRule type="cellIs" dxfId="3154" priority="216" stopIfTrue="1" operator="lessThan">
      <formula>96.5</formula>
    </cfRule>
  </conditionalFormatting>
  <conditionalFormatting sqref="F20:F38">
    <cfRule type="cellIs" dxfId="3153" priority="61" operator="greaterThan">
      <formula>60</formula>
    </cfRule>
  </conditionalFormatting>
  <conditionalFormatting sqref="F39">
    <cfRule type="cellIs" dxfId="3152" priority="244" operator="greaterThan">
      <formula>$AA39</formula>
    </cfRule>
    <cfRule type="cellIs" dxfId="3151" priority="245" operator="greaterThan">
      <formula>$AA90</formula>
    </cfRule>
  </conditionalFormatting>
  <conditionalFormatting sqref="F40:F52">
    <cfRule type="cellIs" dxfId="3150" priority="106" operator="greaterThan">
      <formula>60</formula>
    </cfRule>
  </conditionalFormatting>
  <conditionalFormatting sqref="F53">
    <cfRule type="cellIs" dxfId="3149" priority="239" operator="greaterThan">
      <formula>$AA92</formula>
    </cfRule>
    <cfRule type="cellIs" dxfId="3148" priority="122" operator="greaterThan">
      <formula>$AA53</formula>
    </cfRule>
  </conditionalFormatting>
  <conditionalFormatting sqref="F82">
    <cfRule type="cellIs" dxfId="3147" priority="233" stopIfTrue="1" operator="greaterThan">
      <formula>100</formula>
    </cfRule>
    <cfRule type="cellIs" dxfId="3146" priority="232" stopIfTrue="1" operator="lessThan">
      <formula>96.8</formula>
    </cfRule>
  </conditionalFormatting>
  <conditionalFormatting sqref="F103">
    <cfRule type="cellIs" dxfId="3145" priority="185" stopIfTrue="1" operator="lessThanOrEqual">
      <formula>0</formula>
    </cfRule>
    <cfRule type="cellIs" dxfId="3144" priority="184" stopIfTrue="1" operator="greaterThan">
      <formula>$F103</formula>
    </cfRule>
  </conditionalFormatting>
  <conditionalFormatting sqref="G95:G96 C101:C103">
    <cfRule type="cellIs" dxfId="3143" priority="191" stopIfTrue="1" operator="greaterThan">
      <formula>$F95</formula>
    </cfRule>
    <cfRule type="cellIs" dxfId="3142" priority="192" stopIfTrue="1" operator="lessThanOrEqual">
      <formula>0</formula>
    </cfRule>
  </conditionalFormatting>
  <conditionalFormatting sqref="G95:G96">
    <cfRule type="cellIs" dxfId="3141" priority="132" stopIfTrue="1" operator="lessThanOrEqual">
      <formula>0</formula>
    </cfRule>
    <cfRule type="cellIs" dxfId="3140" priority="131" stopIfTrue="1" operator="greaterThan">
      <formula>$F95</formula>
    </cfRule>
  </conditionalFormatting>
  <conditionalFormatting sqref="G97">
    <cfRule type="cellIs" dxfId="3139" priority="237" stopIfTrue="1" operator="lessThanOrEqual">
      <formula>0</formula>
    </cfRule>
    <cfRule type="cellIs" dxfId="3138" priority="236" stopIfTrue="1" operator="greaterThan">
      <formula>$F96</formula>
    </cfRule>
  </conditionalFormatting>
  <conditionalFormatting sqref="G98">
    <cfRule type="cellIs" dxfId="3137" priority="186" stopIfTrue="1" operator="greaterThan">
      <formula>$F98</formula>
    </cfRule>
    <cfRule type="cellIs" dxfId="3136" priority="187" stopIfTrue="1" operator="lessThanOrEqual">
      <formula>0</formula>
    </cfRule>
  </conditionalFormatting>
  <conditionalFormatting sqref="G99:G102">
    <cfRule type="cellIs" dxfId="3135" priority="195" stopIfTrue="1" operator="lessThanOrEqual">
      <formula>0</formula>
    </cfRule>
    <cfRule type="cellIs" dxfId="3134" priority="194" stopIfTrue="1" operator="greaterThan">
      <formula>$J99</formula>
    </cfRule>
  </conditionalFormatting>
  <conditionalFormatting sqref="G103">
    <cfRule type="cellIs" dxfId="3133" priority="193" operator="greaterThan">
      <formula>4.5</formula>
    </cfRule>
  </conditionalFormatting>
  <conditionalFormatting sqref="G108:G113 C111 C113">
    <cfRule type="cellIs" dxfId="3132" priority="230" stopIfTrue="1" operator="lessThanOrEqual">
      <formula>0</formula>
    </cfRule>
    <cfRule type="cellIs" dxfId="3131" priority="229" stopIfTrue="1" operator="greaterThan">
      <formula>4.5</formula>
    </cfRule>
  </conditionalFormatting>
  <conditionalFormatting sqref="G107:H107">
    <cfRule type="cellIs" dxfId="3130" priority="210" stopIfTrue="1" operator="greaterThan">
      <formula>$F$106</formula>
    </cfRule>
    <cfRule type="cellIs" dxfId="3129" priority="211" stopIfTrue="1" operator="lessThanOrEqual">
      <formula>0</formula>
    </cfRule>
  </conditionalFormatting>
  <conditionalFormatting sqref="H10:H19 G20:H53">
    <cfRule type="expression" dxfId="3128" priority="51">
      <formula>IF(+(IF(G10&lt;#REF!,0,IF(G10&gt;#REF!,0,1)))=0,1)</formula>
    </cfRule>
  </conditionalFormatting>
  <conditionalFormatting sqref="H57:H80 G68:G79">
    <cfRule type="cellIs" dxfId="3127" priority="208" stopIfTrue="1" operator="greaterThan">
      <formula>0</formula>
    </cfRule>
  </conditionalFormatting>
  <conditionalFormatting sqref="H85">
    <cfRule type="cellIs" dxfId="3126" priority="38" stopIfTrue="1" operator="lessThanOrEqual">
      <formula>0</formula>
    </cfRule>
    <cfRule type="cellIs" dxfId="3125" priority="39" stopIfTrue="1" operator="greaterThan">
      <formula>$F$70</formula>
    </cfRule>
    <cfRule type="cellIs" dxfId="3124" priority="47" stopIfTrue="1" operator="greaterThan">
      <formula>$F$73</formula>
    </cfRule>
    <cfRule type="cellIs" dxfId="3123" priority="48" stopIfTrue="1" operator="lessThanOrEqual">
      <formula>0</formula>
    </cfRule>
    <cfRule type="cellIs" dxfId="3122" priority="49" stopIfTrue="1" operator="greaterThan">
      <formula>$F$71</formula>
    </cfRule>
    <cfRule type="cellIs" dxfId="3121" priority="50" stopIfTrue="1" operator="lessThanOrEqual">
      <formula>0</formula>
    </cfRule>
  </conditionalFormatting>
  <conditionalFormatting sqref="H86">
    <cfRule type="cellIs" dxfId="3120" priority="150" stopIfTrue="1" operator="lessThanOrEqual">
      <formula>0</formula>
    </cfRule>
    <cfRule type="cellIs" dxfId="3119" priority="151" stopIfTrue="1" operator="greaterThan">
      <formula>$F$95</formula>
    </cfRule>
    <cfRule type="cellIs" dxfId="3118" priority="149" stopIfTrue="1" operator="greaterThan">
      <formula>$F$97</formula>
    </cfRule>
    <cfRule type="cellIs" dxfId="3117" priority="152" stopIfTrue="1" operator="lessThanOrEqual">
      <formula>0</formula>
    </cfRule>
    <cfRule type="cellIs" dxfId="3116" priority="140" stopIfTrue="1" operator="lessThanOrEqual">
      <formula>0</formula>
    </cfRule>
    <cfRule type="cellIs" dxfId="3115" priority="141" stopIfTrue="1" operator="greaterThan">
      <formula>$F$94</formula>
    </cfRule>
  </conditionalFormatting>
  <conditionalFormatting sqref="H87">
    <cfRule type="cellIs" dxfId="3114" priority="75" stopIfTrue="1" operator="lessThanOrEqual">
      <formula>0</formula>
    </cfRule>
    <cfRule type="cellIs" dxfId="3113" priority="76" stopIfTrue="1" operator="greaterThan">
      <formula>$F$70</formula>
    </cfRule>
    <cfRule type="cellIs" dxfId="3112" priority="84" stopIfTrue="1" operator="greaterThan">
      <formula>$F$73</formula>
    </cfRule>
    <cfRule type="cellIs" dxfId="3111" priority="85" stopIfTrue="1" operator="lessThanOrEqual">
      <formula>0</formula>
    </cfRule>
    <cfRule type="cellIs" dxfId="3110" priority="86" stopIfTrue="1" operator="greaterThan">
      <formula>$F$71</formula>
    </cfRule>
    <cfRule type="cellIs" dxfId="3109" priority="87" stopIfTrue="1" operator="lessThanOrEqual">
      <formula>0</formula>
    </cfRule>
  </conditionalFormatting>
  <conditionalFormatting sqref="H88">
    <cfRule type="cellIs" dxfId="3108" priority="111" stopIfTrue="1" operator="lessThanOrEqual">
      <formula>0</formula>
    </cfRule>
    <cfRule type="cellIs" dxfId="3107" priority="112" stopIfTrue="1" operator="greaterThan">
      <formula>#REF!</formula>
    </cfRule>
    <cfRule type="cellIs" dxfId="3106" priority="120" stopIfTrue="1" operator="greaterThan">
      <formula>#REF!</formula>
    </cfRule>
    <cfRule type="cellIs" dxfId="3105" priority="121" stopIfTrue="1" operator="lessThanOrEqual">
      <formula>0</formula>
    </cfRule>
  </conditionalFormatting>
  <conditionalFormatting sqref="H89:H90">
    <cfRule type="cellIs" dxfId="3104" priority="169" stopIfTrue="1" operator="greaterThan">
      <formula>$F$98</formula>
    </cfRule>
    <cfRule type="cellIs" dxfId="3103" priority="135" stopIfTrue="1" operator="lessThanOrEqual">
      <formula>0</formula>
    </cfRule>
    <cfRule type="cellIs" dxfId="3102" priority="171" stopIfTrue="1" operator="greaterThan">
      <formula>$F$96</formula>
    </cfRule>
    <cfRule type="cellIs" dxfId="3101" priority="172" stopIfTrue="1" operator="lessThanOrEqual">
      <formula>0</formula>
    </cfRule>
    <cfRule type="cellIs" dxfId="3100" priority="170" stopIfTrue="1" operator="lessThanOrEqual">
      <formula>0</formula>
    </cfRule>
    <cfRule type="cellIs" dxfId="3099" priority="161" stopIfTrue="1" operator="greaterThan">
      <formula>$F$95</formula>
    </cfRule>
  </conditionalFormatting>
  <conditionalFormatting sqref="H91">
    <cfRule type="cellIs" dxfId="3098" priority="200" stopIfTrue="1" operator="lessThanOrEqual">
      <formula>0</formula>
    </cfRule>
    <cfRule type="cellIs" dxfId="3097" priority="199" stopIfTrue="1" operator="greaterThan">
      <formula>$F$92</formula>
    </cfRule>
    <cfRule type="cellIs" dxfId="3096" priority="201" stopIfTrue="1" operator="greaterThan">
      <formula>$F$88</formula>
    </cfRule>
    <cfRule type="cellIs" dxfId="3095" priority="202" stopIfTrue="1" operator="lessThanOrEqual">
      <formula>0</formula>
    </cfRule>
  </conditionalFormatting>
  <conditionalFormatting sqref="H95:H102">
    <cfRule type="cellIs" dxfId="3094" priority="173" stopIfTrue="1" operator="greaterThan">
      <formula>$J95</formula>
    </cfRule>
    <cfRule type="cellIs" dxfId="3093" priority="174" stopIfTrue="1" operator="lessThanOrEqual">
      <formula>0</formula>
    </cfRule>
  </conditionalFormatting>
  <conditionalFormatting sqref="H103">
    <cfRule type="cellIs" dxfId="3092" priority="179" operator="greaterThan">
      <formula>5.3</formula>
    </cfRule>
  </conditionalFormatting>
  <conditionalFormatting sqref="H106 H108:H114">
    <cfRule type="cellIs" dxfId="3091" priority="223" stopIfTrue="1" operator="lessThanOrEqual">
      <formula>0</formula>
    </cfRule>
    <cfRule type="cellIs" dxfId="3090" priority="222" stopIfTrue="1" operator="greaterThan">
      <formula>4.5</formula>
    </cfRule>
  </conditionalFormatting>
  <conditionalFormatting sqref="H85:I85">
    <cfRule type="cellIs" dxfId="3089" priority="37" stopIfTrue="1" operator="greaterThan">
      <formula>$F$72</formula>
    </cfRule>
    <cfRule type="cellIs" dxfId="3088" priority="40" stopIfTrue="1" operator="lessThanOrEqual">
      <formula>0</formula>
    </cfRule>
  </conditionalFormatting>
  <conditionalFormatting sqref="H86:I86">
    <cfRule type="cellIs" dxfId="3087" priority="139" stopIfTrue="1" operator="greaterThan">
      <formula>$F$96</formula>
    </cfRule>
    <cfRule type="cellIs" dxfId="3086" priority="142" stopIfTrue="1" operator="lessThanOrEqual">
      <formula>0</formula>
    </cfRule>
  </conditionalFormatting>
  <conditionalFormatting sqref="H87:I87">
    <cfRule type="cellIs" dxfId="3085" priority="74" stopIfTrue="1" operator="greaterThan">
      <formula>$F$72</formula>
    </cfRule>
    <cfRule type="cellIs" dxfId="3084" priority="77" stopIfTrue="1" operator="lessThanOrEqual">
      <formula>0</formula>
    </cfRule>
  </conditionalFormatting>
  <conditionalFormatting sqref="H88:I88">
    <cfRule type="cellIs" dxfId="3083" priority="110" stopIfTrue="1" operator="greaterThan">
      <formula>#REF!</formula>
    </cfRule>
    <cfRule type="cellIs" dxfId="3082" priority="113" stopIfTrue="1" operator="lessThanOrEqual">
      <formula>0</formula>
    </cfRule>
    <cfRule type="cellIs" dxfId="3081" priority="116" stopIfTrue="1" operator="greaterThan">
      <formula>#REF!</formula>
    </cfRule>
    <cfRule type="cellIs" dxfId="3080" priority="119" stopIfTrue="1" operator="lessThanOrEqual">
      <formula>0</formula>
    </cfRule>
  </conditionalFormatting>
  <conditionalFormatting sqref="H89:I89">
    <cfRule type="cellIs" dxfId="3079" priority="162" stopIfTrue="1" operator="lessThanOrEqual">
      <formula>0</formula>
    </cfRule>
  </conditionalFormatting>
  <conditionalFormatting sqref="H89:I90">
    <cfRule type="cellIs" dxfId="3078" priority="133" stopIfTrue="1" operator="greaterThan">
      <formula>$F$97</formula>
    </cfRule>
  </conditionalFormatting>
  <conditionalFormatting sqref="H90:I90">
    <cfRule type="cellIs" dxfId="3077" priority="134" stopIfTrue="1" operator="lessThanOrEqual">
      <formula>0</formula>
    </cfRule>
  </conditionalFormatting>
  <conditionalFormatting sqref="I39 I53">
    <cfRule type="cellIs" dxfId="3076" priority="125" operator="lessThan">
      <formula>97.8</formula>
    </cfRule>
    <cfRule type="cellIs" dxfId="3075" priority="128" operator="lessThan">
      <formula>98</formula>
    </cfRule>
  </conditionalFormatting>
  <conditionalFormatting sqref="I85">
    <cfRule type="cellIs" dxfId="3074" priority="41" stopIfTrue="1" operator="greaterThan">
      <formula>$F$70</formula>
    </cfRule>
    <cfRule type="cellIs" dxfId="3073" priority="42" stopIfTrue="1" operator="lessThanOrEqual">
      <formula>0</formula>
    </cfRule>
    <cfRule type="cellIs" dxfId="3072" priority="43" stopIfTrue="1" operator="greaterThan">
      <formula>$F$72</formula>
    </cfRule>
    <cfRule type="cellIs" dxfId="3071" priority="44" stopIfTrue="1" operator="lessThanOrEqual">
      <formula>0</formula>
    </cfRule>
    <cfRule type="cellIs" dxfId="3070" priority="45" stopIfTrue="1" operator="greaterThan">
      <formula>$F$70</formula>
    </cfRule>
    <cfRule type="cellIs" dxfId="3069" priority="46" stopIfTrue="1" operator="lessThanOrEqual">
      <formula>0</formula>
    </cfRule>
  </conditionalFormatting>
  <conditionalFormatting sqref="I86">
    <cfRule type="cellIs" dxfId="3068" priority="145" stopIfTrue="1" operator="greaterThan">
      <formula>$F$96</formula>
    </cfRule>
    <cfRule type="cellIs" dxfId="3067" priority="143" stopIfTrue="1" operator="greaterThan">
      <formula>$F$94</formula>
    </cfRule>
    <cfRule type="cellIs" dxfId="3066" priority="148" stopIfTrue="1" operator="lessThanOrEqual">
      <formula>0</formula>
    </cfRule>
    <cfRule type="cellIs" dxfId="3065" priority="144" stopIfTrue="1" operator="lessThanOrEqual">
      <formula>0</formula>
    </cfRule>
    <cfRule type="cellIs" dxfId="3064" priority="147" stopIfTrue="1" operator="greaterThan">
      <formula>$F$94</formula>
    </cfRule>
    <cfRule type="cellIs" dxfId="3063" priority="146" stopIfTrue="1" operator="lessThanOrEqual">
      <formula>0</formula>
    </cfRule>
  </conditionalFormatting>
  <conditionalFormatting sqref="I87">
    <cfRule type="cellIs" dxfId="3062" priority="82" stopIfTrue="1" operator="greaterThan">
      <formula>$F$70</formula>
    </cfRule>
    <cfRule type="cellIs" dxfId="3061" priority="79" stopIfTrue="1" operator="lessThanOrEqual">
      <formula>0</formula>
    </cfRule>
    <cfRule type="cellIs" dxfId="3060" priority="78" stopIfTrue="1" operator="greaterThan">
      <formula>$F$70</formula>
    </cfRule>
    <cfRule type="cellIs" dxfId="3059" priority="81" stopIfTrue="1" operator="lessThanOrEqual">
      <formula>0</formula>
    </cfRule>
    <cfRule type="cellIs" dxfId="3058" priority="83" stopIfTrue="1" operator="lessThanOrEqual">
      <formula>0</formula>
    </cfRule>
    <cfRule type="cellIs" dxfId="3057" priority="80" stopIfTrue="1" operator="greaterThan">
      <formula>$F$72</formula>
    </cfRule>
  </conditionalFormatting>
  <conditionalFormatting sqref="I88">
    <cfRule type="cellIs" dxfId="3056" priority="117" stopIfTrue="1" operator="lessThanOrEqual">
      <formula>0</formula>
    </cfRule>
    <cfRule type="cellIs" dxfId="3055" priority="115" stopIfTrue="1" operator="lessThanOrEqual">
      <formula>0</formula>
    </cfRule>
    <cfRule type="cellIs" dxfId="3054" priority="118" stopIfTrue="1" operator="greaterThan">
      <formula>#REF!</formula>
    </cfRule>
    <cfRule type="cellIs" dxfId="3053" priority="114" stopIfTrue="1" operator="greaterThan">
      <formula>#REF!</formula>
    </cfRule>
  </conditionalFormatting>
  <conditionalFormatting sqref="I89:I90">
    <cfRule type="cellIs" dxfId="3052" priority="163" stopIfTrue="1" operator="greaterThan">
      <formula>$F$95</formula>
    </cfRule>
    <cfRule type="cellIs" dxfId="3051" priority="168" stopIfTrue="1" operator="lessThanOrEqual">
      <formula>0</formula>
    </cfRule>
    <cfRule type="cellIs" dxfId="3050" priority="164" stopIfTrue="1" operator="lessThanOrEqual">
      <formula>0</formula>
    </cfRule>
    <cfRule type="cellIs" dxfId="3049" priority="166" stopIfTrue="1" operator="lessThanOrEqual">
      <formula>0</formula>
    </cfRule>
    <cfRule type="cellIs" dxfId="3048" priority="167" stopIfTrue="1" operator="greaterThan">
      <formula>$F$95</formula>
    </cfRule>
    <cfRule type="cellIs" dxfId="3047" priority="165" stopIfTrue="1" operator="greaterThan">
      <formula>$F$97</formula>
    </cfRule>
  </conditionalFormatting>
  <conditionalFormatting sqref="I95:I103">
    <cfRule type="cellIs" dxfId="3046" priority="181" stopIfTrue="1" operator="lessThanOrEqual">
      <formula>0</formula>
    </cfRule>
    <cfRule type="cellIs" dxfId="3045" priority="180" stopIfTrue="1" operator="greaterThan">
      <formula>$J95</formula>
    </cfRule>
  </conditionalFormatting>
  <conditionalFormatting sqref="I106:I114">
    <cfRule type="cellIs" dxfId="3044" priority="218" stopIfTrue="1" operator="greaterThan">
      <formula>4.5</formula>
    </cfRule>
    <cfRule type="cellIs" dxfId="3043" priority="219" stopIfTrue="1" operator="lessThanOrEqual">
      <formula>0</formula>
    </cfRule>
  </conditionalFormatting>
  <conditionalFormatting sqref="I10:J38">
    <cfRule type="cellIs" dxfId="3042" priority="62" operator="lessThan">
      <formula>97.9</formula>
    </cfRule>
  </conditionalFormatting>
  <conditionalFormatting sqref="I40:J52">
    <cfRule type="cellIs" dxfId="3041" priority="107" operator="lessThan">
      <formula>97.9</formula>
    </cfRule>
  </conditionalFormatting>
  <conditionalFormatting sqref="J39 J53">
    <cfRule type="cellIs" dxfId="3040" priority="126" operator="notBetween">
      <formula>98</formula>
      <formula>99.9</formula>
    </cfRule>
    <cfRule type="cellIs" dxfId="3039" priority="127" operator="lessThan">
      <formula>97.4</formula>
    </cfRule>
  </conditionalFormatting>
  <conditionalFormatting sqref="J56:J58">
    <cfRule type="cellIs" dxfId="3038" priority="154" stopIfTrue="1" operator="lessThan">
      <formula>96.8</formula>
    </cfRule>
    <cfRule type="cellIs" dxfId="3037" priority="155" stopIfTrue="1" operator="greaterThan">
      <formula>100</formula>
    </cfRule>
    <cfRule type="cellIs" dxfId="3036" priority="156" operator="lessThan">
      <formula>98</formula>
    </cfRule>
  </conditionalFormatting>
  <conditionalFormatting sqref="J56:J60">
    <cfRule type="cellIs" dxfId="3035" priority="130" operator="lessThan">
      <formula>97.4</formula>
    </cfRule>
  </conditionalFormatting>
  <conditionalFormatting sqref="J61">
    <cfRule type="cellIs" dxfId="3034" priority="157" operator="lessThan">
      <formula>98</formula>
    </cfRule>
  </conditionalFormatting>
  <conditionalFormatting sqref="J62:J64">
    <cfRule type="cellIs" dxfId="3033" priority="158" stopIfTrue="1" operator="lessThan">
      <formula>96.8</formula>
    </cfRule>
    <cfRule type="cellIs" dxfId="3032" priority="159" stopIfTrue="1" operator="greaterThan">
      <formula>100</formula>
    </cfRule>
  </conditionalFormatting>
  <conditionalFormatting sqref="J62:J65">
    <cfRule type="cellIs" dxfId="3031" priority="160" operator="lessThan">
      <formula>98</formula>
    </cfRule>
  </conditionalFormatting>
  <conditionalFormatting sqref="K10:K53">
    <cfRule type="cellIs" dxfId="3030" priority="56" operator="lessThan">
      <formula>4</formula>
    </cfRule>
    <cfRule type="cellIs" dxfId="3029" priority="55" operator="greaterThan">
      <formula>6</formula>
    </cfRule>
    <cfRule type="cellIs" dxfId="3028" priority="60" operator="greaterThan">
      <formula>6.4</formula>
    </cfRule>
  </conditionalFormatting>
  <conditionalFormatting sqref="K70:K79">
    <cfRule type="cellIs" dxfId="3027" priority="188" operator="notEqual">
      <formula>#REF!</formula>
    </cfRule>
  </conditionalFormatting>
  <conditionalFormatting sqref="K85:K91 K95:N103">
    <cfRule type="cellIs" dxfId="3026" priority="198" stopIfTrue="1" operator="lessThan">
      <formula>100%</formula>
    </cfRule>
  </conditionalFormatting>
  <conditionalFormatting sqref="K106:K111">
    <cfRule type="cellIs" dxfId="3025" priority="224" stopIfTrue="1" operator="lessThan">
      <formula>100%</formula>
    </cfRule>
  </conditionalFormatting>
  <conditionalFormatting sqref="K113:K114">
    <cfRule type="cellIs" dxfId="3024" priority="231" stopIfTrue="1" operator="lessThan">
      <formula>100%</formula>
    </cfRule>
  </conditionalFormatting>
  <conditionalFormatting sqref="L10:L53">
    <cfRule type="cellIs" dxfId="3023" priority="58" operator="greaterThan">
      <formula>65</formula>
    </cfRule>
    <cfRule type="cellIs" dxfId="3022" priority="57" operator="between">
      <formula>61</formula>
      <formula>65</formula>
    </cfRule>
  </conditionalFormatting>
  <conditionalFormatting sqref="L56:M67">
    <cfRule type="cellIs" dxfId="3021" priority="1" operator="lessThan">
      <formula>98</formula>
    </cfRule>
  </conditionalFormatting>
  <conditionalFormatting sqref="L71:N71">
    <cfRule type="cellIs" dxfId="3020" priority="136" operator="notEqual">
      <formula>#REF!</formula>
    </cfRule>
  </conditionalFormatting>
  <conditionalFormatting sqref="L106:N114">
    <cfRule type="cellIs" dxfId="3019" priority="209" stopIfTrue="1" operator="lessThan">
      <formula>100%</formula>
    </cfRule>
  </conditionalFormatting>
  <conditionalFormatting sqref="M10:M20">
    <cfRule type="expression" dxfId="3018" priority="53">
      <formula>IF(+(IF(M10&lt;V10,0,IF(M10&gt;W10,0,1)))=0,1)</formula>
    </cfRule>
  </conditionalFormatting>
  <conditionalFormatting sqref="M21:M32">
    <cfRule type="expression" dxfId="3017" priority="71">
      <formula>IF(+(IF(M21&lt;U21,0,IF(M21&gt;V21,0,1)))=0,1)</formula>
    </cfRule>
  </conditionalFormatting>
  <conditionalFormatting sqref="M33:M53">
    <cfRule type="expression" dxfId="3016" priority="67">
      <formula>IF(+(IF(M33&lt;V33,0,IF(M33&gt;W33,0,1)))=0,1)</formula>
    </cfRule>
  </conditionalFormatting>
  <conditionalFormatting sqref="M6:N6">
    <cfRule type="cellIs" dxfId="3015" priority="137" operator="greaterThanOrEqual">
      <formula>15</formula>
    </cfRule>
    <cfRule type="cellIs" dxfId="3014" priority="138" operator="greaterThanOrEqual">
      <formula>19</formula>
    </cfRule>
  </conditionalFormatting>
  <conditionalFormatting sqref="N10:N20">
    <cfRule type="expression" dxfId="3013" priority="54">
      <formula>IF(+(IF(N10&lt;X10,0,IF(N10&gt;Y10,0,1)))=0,1)</formula>
    </cfRule>
  </conditionalFormatting>
  <conditionalFormatting sqref="N21:N32">
    <cfRule type="expression" dxfId="3012" priority="72">
      <formula>IF(+(IF(N21&lt;W21,0,IF(N21&gt;X21,0,1)))=0,1)</formula>
    </cfRule>
  </conditionalFormatting>
  <conditionalFormatting sqref="N33:N53">
    <cfRule type="expression" dxfId="3011" priority="68">
      <formula>IF(+(IF(N33&lt;X33,0,IF(N33&gt;Y33,0,1)))=0,1)</formula>
    </cfRule>
  </conditionalFormatting>
  <conditionalFormatting sqref="N39">
    <cfRule type="expression" dxfId="3010" priority="240">
      <formula>IF(+(IF(N39&lt;X95,0,IF(N39&gt;Y95,0,1)))=0,1)</formula>
    </cfRule>
    <cfRule type="expression" dxfId="3009" priority="241">
      <formula>IF(+(IF(N39&lt;X90,0,IF(N39&gt;Y90,0,1)))=0,1)</formula>
    </cfRule>
  </conditionalFormatting>
  <conditionalFormatting sqref="N53">
    <cfRule type="expression" dxfId="3008" priority="242">
      <formula>IF(+(IF(N53&lt;X97,0,IF(N53&gt;Y97,0,1)))=0,1)</formula>
    </cfRule>
    <cfRule type="expression" dxfId="3007" priority="243">
      <formula>IF(+(IF(N53&lt;X92,0,IF(N53&gt;Y92,0,1)))=0,1)</formula>
    </cfRule>
  </conditionalFormatting>
  <conditionalFormatting sqref="P6">
    <cfRule type="cellIs" dxfId="3006" priority="205" operator="greaterThanOrEqual">
      <formula>19</formula>
    </cfRule>
  </conditionalFormatting>
  <dataValidations disablePrompts="1" count="1">
    <dataValidation type="list" allowBlank="1" showInputMessage="1" showErrorMessage="1" sqref="S8 B53" xr:uid="{9819A4D4-2A39-434E-B082-B3CC990AFF9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8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034E-23A3-4C40-BCEC-D678E8F0A05A}">
  <sheetPr>
    <pageSetUpPr fitToPage="1"/>
  </sheetPr>
  <dimension ref="A1:BF117"/>
  <sheetViews>
    <sheetView topLeftCell="A60" zoomScale="80" zoomScaleNormal="80" workbookViewId="0">
      <selection activeCell="K59" sqref="K59"/>
    </sheetView>
  </sheetViews>
  <sheetFormatPr defaultColWidth="9.44140625" defaultRowHeight="13.8"/>
  <cols>
    <col min="1" max="1" width="3.44140625" style="275" customWidth="1"/>
    <col min="2" max="2" width="26.33203125" style="275" customWidth="1"/>
    <col min="3" max="3" width="13.44140625" style="275" customWidth="1"/>
    <col min="4" max="4" width="9.44140625" style="275" bestFit="1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52">
        <v>45721</v>
      </c>
      <c r="D4" s="452"/>
      <c r="J4" s="401" t="s">
        <v>171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170</v>
      </c>
      <c r="K6" s="404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[23]Brewhouse!$A255</f>
        <v>CA152</v>
      </c>
      <c r="D10" s="279">
        <f>[23]Brewhouse!$AF255</f>
        <v>55.6</v>
      </c>
      <c r="E10" s="279">
        <f>[23]Brewhouse!$AI255</f>
        <v>52</v>
      </c>
      <c r="F10" s="278">
        <f>[23]Brewhouse!$V255</f>
        <v>60</v>
      </c>
      <c r="G10" s="279">
        <f>[23]Brewhouse!$AG255</f>
        <v>11.9</v>
      </c>
      <c r="H10" s="396">
        <v>11.9</v>
      </c>
      <c r="I10" s="368">
        <f>[23]Brewhouse!$AU255</f>
        <v>102.72900962852634</v>
      </c>
      <c r="J10" s="368">
        <f>[23]Brewhouse!$AV255</f>
        <v>101.94335078856282</v>
      </c>
      <c r="K10" s="281">
        <f>[23]Brewhouse!$Q255</f>
        <v>8.1769911504424737</v>
      </c>
      <c r="L10" s="276">
        <f>[23]Brewhouse!$P255</f>
        <v>58</v>
      </c>
      <c r="M10" s="397">
        <f>[23]Brewhouse!$U255-[23]Brewhouse!$T255</f>
        <v>0.13611111111111113</v>
      </c>
      <c r="N10" s="370">
        <f>[23]Brewhouse!$Z255</f>
        <v>0.28541666666666665</v>
      </c>
      <c r="O10" s="371" t="str">
        <f>[23]Brewhouse!$AX255</f>
        <v>R.Sookram</v>
      </c>
      <c r="P10" s="375"/>
      <c r="Q10" s="347"/>
      <c r="S10" s="277" t="str">
        <f t="shared" ref="S10:S54" si="0">B10</f>
        <v>CARIB</v>
      </c>
      <c r="T10" s="296">
        <f t="shared" ref="T10:T54" si="1">VLOOKUP($B10,$S$3:$Y$9,2,FALSE)</f>
        <v>11.6</v>
      </c>
      <c r="U10" s="296">
        <f t="shared" ref="U10:U54" si="2">VLOOKUP($B10,$S$3:$Y$9,3,FALSE)</f>
        <v>12</v>
      </c>
      <c r="V10" s="297">
        <f t="shared" ref="V10:V54" si="3">VLOOKUP($B10,$S$3:$Y$9,4,FALSE)</f>
        <v>0</v>
      </c>
      <c r="W10" s="297">
        <f t="shared" ref="W10:W54" si="4">VLOOKUP($B10,$S$3:$Y$9,5,FALSE)</f>
        <v>0.118055555555556</v>
      </c>
      <c r="X10" s="297">
        <f t="shared" ref="X10:X54" si="5">VLOOKUP($B10,$S$3:$Y$9,6,FALSE)</f>
        <v>0.22569444444444445</v>
      </c>
      <c r="Y10" s="297">
        <f t="shared" ref="Y10:Y54" si="6">VLOOKUP($B10,$S$3:$Y$9,7,FALSE)</f>
        <v>0.2638888888888889</v>
      </c>
      <c r="Z10" s="297">
        <f t="shared" ref="Z10:Z54" si="7">VLOOKUP($B10,$S$3:$AA$9,8,FALSE)</f>
        <v>0</v>
      </c>
      <c r="AA10" s="296">
        <f t="shared" ref="AA10:AA54" si="8">VLOOKUP($B10,$S$3:$AA$9,9,FALSE)</f>
        <v>60</v>
      </c>
    </row>
    <row r="11" spans="2:30" ht="14.4">
      <c r="B11" s="29" t="s">
        <v>6</v>
      </c>
      <c r="C11" s="366" t="str">
        <f>[23]Brewhouse!$A256</f>
        <v>CA153</v>
      </c>
      <c r="D11" s="279">
        <f>[23]Brewhouse!$AF256</f>
        <v>53.3</v>
      </c>
      <c r="E11" s="279">
        <f>[23]Brewhouse!$AI256</f>
        <v>49.9</v>
      </c>
      <c r="F11" s="278">
        <f>[23]Brewhouse!$V256</f>
        <v>62</v>
      </c>
      <c r="G11" s="279">
        <f>[23]Brewhouse!$AG256</f>
        <v>11.8</v>
      </c>
      <c r="H11" s="396">
        <v>11.9</v>
      </c>
      <c r="I11" s="368">
        <f>[23]Brewhouse!$AU256</f>
        <v>97.709347146924856</v>
      </c>
      <c r="J11" s="368">
        <f>[23]Brewhouse!$AV256</f>
        <v>96.962078068690403</v>
      </c>
      <c r="K11" s="281">
        <f>[23]Brewhouse!$Q256</f>
        <v>6.1071428571428603</v>
      </c>
      <c r="L11" s="276">
        <f>[23]Brewhouse!$P256</f>
        <v>61</v>
      </c>
      <c r="M11" s="397">
        <f>[23]Brewhouse!$U256-[23]Brewhouse!$T256</f>
        <v>0.11180555555555555</v>
      </c>
      <c r="N11" s="370">
        <f>[23]Brewhouse!$Z256</f>
        <v>0.27083333333333337</v>
      </c>
      <c r="O11" s="371" t="str">
        <f>[23]Brewhouse!$AX256</f>
        <v>K.Benjamin</v>
      </c>
      <c r="P11" s="375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29" t="s">
        <v>6</v>
      </c>
      <c r="C12" s="366" t="str">
        <f>[23]Brewhouse!$A257</f>
        <v>CA154</v>
      </c>
      <c r="D12" s="279">
        <f>[23]Brewhouse!$AF257</f>
        <v>52.4</v>
      </c>
      <c r="E12" s="279">
        <f>[23]Brewhouse!$AI257</f>
        <v>49</v>
      </c>
      <c r="F12" s="278">
        <f>[23]Brewhouse!$V257</f>
        <v>65</v>
      </c>
      <c r="G12" s="279">
        <f>[23]Brewhouse!$AG257</f>
        <v>11.9</v>
      </c>
      <c r="H12" s="396">
        <v>11.8</v>
      </c>
      <c r="I12" s="368">
        <f>[23]Brewhouse!$AU257</f>
        <v>97.039020012695659</v>
      </c>
      <c r="J12" s="368">
        <f>[23]Brewhouse!$AV257</f>
        <v>96.297037705174944</v>
      </c>
      <c r="K12" s="281">
        <f>[23]Brewhouse!$Q257</f>
        <v>7.2172351885098793</v>
      </c>
      <c r="L12" s="276">
        <f>[23]Brewhouse!$P257</f>
        <v>60</v>
      </c>
      <c r="M12" s="397">
        <f>[23]Brewhouse!$U257-[23]Brewhouse!$T257</f>
        <v>0.11875000000000002</v>
      </c>
      <c r="N12" s="370">
        <f>[23]Brewhouse!$Z257</f>
        <v>0.28472222222222227</v>
      </c>
      <c r="O12" s="371" t="str">
        <f>[23]Brewhouse!$AX257</f>
        <v>K.Benjamin</v>
      </c>
      <c r="P12" s="375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9" t="s">
        <v>6</v>
      </c>
      <c r="C13" s="366" t="str">
        <f>[23]Brewhouse!$A258</f>
        <v>CA155</v>
      </c>
      <c r="D13" s="279">
        <f>[23]Brewhouse!$AF258</f>
        <v>51.9</v>
      </c>
      <c r="E13" s="279">
        <f>[23]Brewhouse!$AI258</f>
        <v>49.5</v>
      </c>
      <c r="F13" s="278">
        <f>[23]Brewhouse!$V258</f>
        <v>58</v>
      </c>
      <c r="G13" s="279">
        <f>[23]Brewhouse!$AG258</f>
        <v>12.06</v>
      </c>
      <c r="H13" s="396">
        <v>11.7</v>
      </c>
      <c r="I13" s="368">
        <f>[23]Brewhouse!$AU258</f>
        <v>100.56008067857034</v>
      </c>
      <c r="J13" s="368">
        <f>[23]Brewhouse!$AV258</f>
        <v>99.758450190421996</v>
      </c>
      <c r="K13" s="281">
        <f>[23]Brewhouse!$Q258</f>
        <v>8.9323843416370163</v>
      </c>
      <c r="L13" s="276">
        <f>[23]Brewhouse!$P258</f>
        <v>60</v>
      </c>
      <c r="M13" s="397">
        <f>[23]Brewhouse!$U258-[23]Brewhouse!$T258</f>
        <v>0.11250000000000004</v>
      </c>
      <c r="N13" s="370">
        <f>[23]Brewhouse!$Z258</f>
        <v>0.26180555555555557</v>
      </c>
      <c r="O13" s="371" t="str">
        <f>[23]Brewhouse!$AX258</f>
        <v>K.Benjamin</v>
      </c>
      <c r="P13" s="375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4.4">
      <c r="B14" s="29" t="s">
        <v>6</v>
      </c>
      <c r="C14" s="366" t="str">
        <f>[23]Brewhouse!$A259</f>
        <v>CA156</v>
      </c>
      <c r="D14" s="279">
        <f>[23]Brewhouse!$AF259</f>
        <v>52.9</v>
      </c>
      <c r="E14" s="279">
        <f>[23]Brewhouse!$AI259</f>
        <v>49.6</v>
      </c>
      <c r="F14" s="278">
        <f>[23]Brewhouse!$V259</f>
        <v>61</v>
      </c>
      <c r="G14" s="279">
        <f>[23]Brewhouse!$AG259</f>
        <v>12</v>
      </c>
      <c r="H14" s="396">
        <v>11.9</v>
      </c>
      <c r="I14" s="368">
        <f>[23]Brewhouse!$AU259</f>
        <v>100.13520638196576</v>
      </c>
      <c r="J14" s="368">
        <f>[23]Brewhouse!$AV259</f>
        <v>99.337049696257367</v>
      </c>
      <c r="K14" s="281">
        <f>[23]Brewhouse!$Q259</f>
        <v>9.0780141843971585</v>
      </c>
      <c r="L14" s="276">
        <f>[23]Brewhouse!$P259</f>
        <v>62</v>
      </c>
      <c r="M14" s="397">
        <f>[23]Brewhouse!$U259-[23]Brewhouse!$T259</f>
        <v>0.11250000000000004</v>
      </c>
      <c r="N14" s="370">
        <f>[23]Brewhouse!$Z259</f>
        <v>0.27986111111111112</v>
      </c>
      <c r="O14" s="371" t="str">
        <f>[23]Brewhouse!$AX259</f>
        <v>R.Regis</v>
      </c>
      <c r="P14" s="375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4.4">
      <c r="B15" s="29" t="s">
        <v>6</v>
      </c>
      <c r="C15" s="366" t="str">
        <f>[23]Brewhouse!$A260</f>
        <v>CA157</v>
      </c>
      <c r="D15" s="279">
        <f>[23]Brewhouse!$AF260</f>
        <v>53.2</v>
      </c>
      <c r="E15" s="279">
        <f>[23]Brewhouse!$AI260</f>
        <v>50.1</v>
      </c>
      <c r="F15" s="278">
        <f>[23]Brewhouse!$V260</f>
        <v>49</v>
      </c>
      <c r="G15" s="279">
        <f>[23]Brewhouse!$AG260</f>
        <v>11.8</v>
      </c>
      <c r="H15" s="396">
        <v>11.7</v>
      </c>
      <c r="I15" s="368">
        <f>[23]Brewhouse!$AU260</f>
        <v>99.006072770899991</v>
      </c>
      <c r="J15" s="368">
        <f>[23]Brewhouse!$AV260</f>
        <v>98.216787524181242</v>
      </c>
      <c r="K15" s="281">
        <f>[23]Brewhouse!$Q260</f>
        <v>5.6115107913669018</v>
      </c>
      <c r="L15" s="276">
        <f>[23]Brewhouse!$P260</f>
        <v>59</v>
      </c>
      <c r="M15" s="397">
        <f>[23]Brewhouse!$U260-[23]Brewhouse!$T260</f>
        <v>0.10902777777777772</v>
      </c>
      <c r="N15" s="370">
        <f>[23]Brewhouse!$Z260</f>
        <v>0.27430555555555547</v>
      </c>
      <c r="O15" s="371" t="str">
        <f>[23]Brewhouse!$AX260</f>
        <v>R.Regis</v>
      </c>
      <c r="P15" s="375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4.4">
      <c r="B16" s="29" t="s">
        <v>6</v>
      </c>
      <c r="C16" s="366" t="str">
        <f>[23]Brewhouse!$A261</f>
        <v>CA158</v>
      </c>
      <c r="D16" s="279">
        <f>[23]Brewhouse!$AF261</f>
        <v>53.4</v>
      </c>
      <c r="E16" s="279">
        <f>[23]Brewhouse!$AI261</f>
        <v>50.4</v>
      </c>
      <c r="F16" s="278">
        <f>[23]Brewhouse!$V261</f>
        <v>63</v>
      </c>
      <c r="G16" s="279">
        <f>[23]Brewhouse!$AG261</f>
        <v>11.76</v>
      </c>
      <c r="H16" s="367"/>
      <c r="I16" s="368">
        <f>[23]Brewhouse!$AU261</f>
        <v>99.476489650339886</v>
      </c>
      <c r="J16" s="368">
        <f>[23]Brewhouse!$AV261</f>
        <v>98.683411323887796</v>
      </c>
      <c r="K16" s="281">
        <f>[23]Brewhouse!$Q261</f>
        <v>6.5957446808510625</v>
      </c>
      <c r="L16" s="276">
        <f>[23]Brewhouse!$P261</f>
        <v>61</v>
      </c>
      <c r="M16" s="397">
        <f>[23]Brewhouse!$U261-[23]Brewhouse!$T261</f>
        <v>0.12361111111111112</v>
      </c>
      <c r="N16" s="370">
        <f>[23]Brewhouse!$Z261</f>
        <v>0.26180555555555551</v>
      </c>
      <c r="O16" s="371" t="str">
        <f>[23]Brewhouse!$AX261</f>
        <v>R.Regis</v>
      </c>
      <c r="P16" s="375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2:27" ht="14.4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369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4.4">
      <c r="B18" s="33" t="s">
        <v>9</v>
      </c>
      <c r="C18" s="366" t="str">
        <f>[24]Brewhouse!$A105</f>
        <v>ST089</v>
      </c>
      <c r="D18" s="279">
        <f>[24]Brewhouse!$AD105</f>
        <v>51.6</v>
      </c>
      <c r="E18" s="279">
        <f>[24]Brewhouse!$AG105</f>
        <v>48.2</v>
      </c>
      <c r="F18" s="278">
        <f>[24]Brewhouse!$V105</f>
        <v>63</v>
      </c>
      <c r="G18" s="279">
        <f>[24]Brewhouse!$AE105</f>
        <v>11.85</v>
      </c>
      <c r="H18" s="396">
        <v>11.8</v>
      </c>
      <c r="I18" s="416">
        <f>[24]Brewhouse!$AS105</f>
        <v>96.818003369761513</v>
      </c>
      <c r="J18" s="416">
        <f>[24]Brewhouse!$AT105</f>
        <v>96.17844811652823</v>
      </c>
      <c r="K18" s="398">
        <f>[24]Brewhouse!$Q105</f>
        <v>6.6298342541436366</v>
      </c>
      <c r="L18" s="276">
        <f>[24]Brewhouse!$P105</f>
        <v>61</v>
      </c>
      <c r="M18" s="374">
        <f>[24]Brewhouse!$U105-[24]Brewhouse!$T105</f>
        <v>0.1166666666666667</v>
      </c>
      <c r="N18" s="370">
        <f>[24]Brewhouse!$AW105</f>
        <v>0.26111111111111118</v>
      </c>
      <c r="O18" s="417" t="str">
        <f>[24]Brewhouse!$AV105</f>
        <v>R.Sookram</v>
      </c>
      <c r="P18" s="369"/>
      <c r="Q18" s="347"/>
      <c r="S18" s="277" t="str">
        <f t="shared" ref="S18:S21" si="9">B18</f>
        <v>STAG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2:27" ht="14.4">
      <c r="B19" s="438">
        <v>45721</v>
      </c>
      <c r="C19" s="366"/>
      <c r="D19" s="279"/>
      <c r="E19" s="279"/>
      <c r="F19" s="278"/>
      <c r="G19" s="279"/>
      <c r="H19" s="396"/>
      <c r="I19" s="416"/>
      <c r="J19" s="416"/>
      <c r="K19" s="398"/>
      <c r="L19" s="276"/>
      <c r="M19" s="374"/>
      <c r="N19" s="370"/>
      <c r="O19" s="417"/>
      <c r="P19" s="369"/>
      <c r="Q19" s="347"/>
      <c r="S19" s="277"/>
      <c r="T19" s="296"/>
      <c r="U19" s="296"/>
      <c r="V19" s="297"/>
      <c r="W19" s="297"/>
      <c r="X19" s="297"/>
      <c r="Y19" s="297"/>
      <c r="Z19" s="297"/>
      <c r="AA19" s="296"/>
    </row>
    <row r="20" spans="2:27" ht="14.4">
      <c r="B20" s="33" t="s">
        <v>9</v>
      </c>
      <c r="C20" s="366" t="str">
        <f>[24]Brewhouse!$A106</f>
        <v>ST090</v>
      </c>
      <c r="D20" s="279">
        <f>[24]Brewhouse!$AD106</f>
        <v>52.4</v>
      </c>
      <c r="E20" s="279">
        <f>[24]Brewhouse!$AG106</f>
        <v>48.9</v>
      </c>
      <c r="F20" s="278">
        <f>[24]Brewhouse!$V106</f>
        <v>58</v>
      </c>
      <c r="G20" s="279">
        <f>[24]Brewhouse!$AE106</f>
        <v>11.74</v>
      </c>
      <c r="H20" s="367"/>
      <c r="I20" s="416">
        <f>[24]Brewhouse!$AS106</f>
        <v>96.728268188487093</v>
      </c>
      <c r="J20" s="416">
        <f>[24]Brewhouse!$AT106</f>
        <v>96.089719278755197</v>
      </c>
      <c r="K20" s="398">
        <f>[24]Brewhouse!$Q106</f>
        <v>7.4275362318840603</v>
      </c>
      <c r="L20" s="276">
        <f>[24]Brewhouse!$P106</f>
        <v>62</v>
      </c>
      <c r="M20" s="374">
        <f>[24]Brewhouse!$U106-[24]Brewhouse!$T106</f>
        <v>0.10833333333333339</v>
      </c>
      <c r="N20" s="370">
        <f>[24]Brewhouse!$AW106</f>
        <v>0.26111111111111107</v>
      </c>
      <c r="O20" s="417" t="str">
        <f>[24]Brewhouse!$AV106</f>
        <v>R.Sookram</v>
      </c>
      <c r="P20" s="369"/>
      <c r="Q20" s="347"/>
      <c r="S20" s="277" t="str">
        <f t="shared" si="9"/>
        <v>STAG</v>
      </c>
      <c r="T20" s="296">
        <f t="shared" si="1"/>
        <v>11.6</v>
      </c>
      <c r="U20" s="296">
        <f t="shared" si="2"/>
        <v>12</v>
      </c>
      <c r="V20" s="297">
        <f t="shared" si="3"/>
        <v>0</v>
      </c>
      <c r="W20" s="297">
        <f t="shared" si="4"/>
        <v>0.118055555555556</v>
      </c>
      <c r="X20" s="297">
        <f t="shared" si="5"/>
        <v>0.22569444444444445</v>
      </c>
      <c r="Y20" s="297">
        <f t="shared" si="6"/>
        <v>0.2638888888888889</v>
      </c>
      <c r="Z20" s="297">
        <f t="shared" si="7"/>
        <v>0</v>
      </c>
      <c r="AA20" s="296">
        <f t="shared" si="8"/>
        <v>60</v>
      </c>
    </row>
    <row r="21" spans="2:27" ht="14.4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9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4.4" hidden="1">
      <c r="B22" s="22"/>
      <c r="C22" s="366"/>
      <c r="D22" s="279"/>
      <c r="E22" s="279"/>
      <c r="F22" s="278"/>
      <c r="G22" s="279"/>
      <c r="H22" s="402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4.4" hidden="1">
      <c r="B23" s="22"/>
      <c r="C23" s="366"/>
      <c r="D23" s="279"/>
      <c r="E23" s="279"/>
      <c r="F23" s="278"/>
      <c r="G23" s="279"/>
      <c r="H23" s="402"/>
      <c r="I23" s="368"/>
      <c r="J23" s="368"/>
      <c r="K23" s="281"/>
      <c r="L23" s="276"/>
      <c r="M23" s="374"/>
      <c r="N23" s="370"/>
      <c r="O23" s="371"/>
      <c r="P23" s="369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4.4" hidden="1">
      <c r="B24" s="22"/>
      <c r="C24" s="366"/>
      <c r="D24" s="279"/>
      <c r="E24" s="279"/>
      <c r="F24" s="278"/>
      <c r="G24" s="279"/>
      <c r="H24" s="402"/>
      <c r="I24" s="368"/>
      <c r="J24" s="368"/>
      <c r="K24" s="281"/>
      <c r="L24" s="276"/>
      <c r="M24" s="374"/>
      <c r="N24" s="370"/>
      <c r="O24" s="371"/>
      <c r="P24" s="369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4.4" hidden="1">
      <c r="B25" s="22"/>
      <c r="C25" s="366"/>
      <c r="D25" s="279"/>
      <c r="E25" s="279"/>
      <c r="F25" s="278"/>
      <c r="G25" s="279"/>
      <c r="H25" s="402"/>
      <c r="I25" s="368"/>
      <c r="J25" s="368"/>
      <c r="K25" s="281"/>
      <c r="L25" s="276"/>
      <c r="M25" s="374"/>
      <c r="N25" s="370"/>
      <c r="O25" s="371"/>
      <c r="P25" s="369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4.4" hidden="1">
      <c r="B26" s="22"/>
      <c r="C26" s="366"/>
      <c r="D26" s="279"/>
      <c r="E26" s="279"/>
      <c r="F26" s="278"/>
      <c r="G26" s="279"/>
      <c r="H26" s="402"/>
      <c r="I26" s="368"/>
      <c r="J26" s="368"/>
      <c r="K26" s="281"/>
      <c r="L26" s="276"/>
      <c r="M26" s="374"/>
      <c r="N26" s="370"/>
      <c r="O26" s="371"/>
      <c r="P26" s="369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22"/>
      <c r="C27" s="366"/>
      <c r="D27" s="279"/>
      <c r="E27" s="279"/>
      <c r="F27" s="278"/>
      <c r="G27" s="279"/>
      <c r="H27" s="402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22"/>
      <c r="C28" s="366"/>
      <c r="D28" s="279"/>
      <c r="E28" s="279"/>
      <c r="F28" s="278"/>
      <c r="G28" s="279"/>
      <c r="H28" s="402"/>
      <c r="I28" s="368"/>
      <c r="J28" s="368"/>
      <c r="K28" s="281"/>
      <c r="L28" s="276"/>
      <c r="M28" s="374"/>
      <c r="N28" s="370"/>
      <c r="O28" s="371"/>
      <c r="P28" s="375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22"/>
      <c r="C29" s="366"/>
      <c r="D29" s="279"/>
      <c r="E29" s="279"/>
      <c r="F29" s="278"/>
      <c r="G29" s="279"/>
      <c r="H29" s="402"/>
      <c r="I29" s="368"/>
      <c r="J29" s="368"/>
      <c r="K29" s="281"/>
      <c r="L29" s="276"/>
      <c r="M29" s="374"/>
      <c r="N29" s="370"/>
      <c r="O29" s="371"/>
      <c r="P29" s="375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4"/>
      <c r="C30" s="366"/>
      <c r="D30" s="279"/>
      <c r="E30" s="279"/>
      <c r="F30" s="278"/>
      <c r="G30" s="279"/>
      <c r="H30" s="396"/>
      <c r="I30" s="368"/>
      <c r="J30" s="368"/>
      <c r="K30" s="398"/>
      <c r="L30" s="276"/>
      <c r="M30" s="399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4"/>
      <c r="C31" s="366"/>
      <c r="D31" s="279"/>
      <c r="E31" s="279"/>
      <c r="F31" s="278"/>
      <c r="G31" s="279"/>
      <c r="H31" s="396"/>
      <c r="I31" s="368"/>
      <c r="J31" s="368"/>
      <c r="K31" s="398"/>
      <c r="L31" s="276"/>
      <c r="M31" s="399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4"/>
      <c r="C32" s="366"/>
      <c r="D32" s="279"/>
      <c r="E32" s="279"/>
      <c r="F32" s="278"/>
      <c r="G32" s="279"/>
      <c r="H32" s="396"/>
      <c r="I32" s="368"/>
      <c r="J32" s="368"/>
      <c r="K32" s="398"/>
      <c r="L32" s="276"/>
      <c r="M32" s="399"/>
      <c r="N32" s="370"/>
      <c r="O32" s="371"/>
      <c r="P32" s="375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.75" hidden="1" customHeight="1">
      <c r="B33" s="34"/>
      <c r="C33" s="366"/>
      <c r="D33" s="279"/>
      <c r="E33" s="279"/>
      <c r="F33" s="278"/>
      <c r="G33" s="279"/>
      <c r="H33" s="396"/>
      <c r="I33" s="368"/>
      <c r="J33" s="368"/>
      <c r="K33" s="398"/>
      <c r="L33" s="276"/>
      <c r="M33" s="399"/>
      <c r="N33" s="370"/>
      <c r="O33" s="371"/>
      <c r="P33" s="375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375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375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375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375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375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74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.75" hidden="1" customHeight="1">
      <c r="B41" s="33"/>
      <c r="C41" s="366"/>
      <c r="D41" s="279"/>
      <c r="E41" s="279"/>
      <c r="F41" s="278"/>
      <c r="G41" s="279"/>
      <c r="H41" s="396"/>
      <c r="I41" s="416"/>
      <c r="J41" s="416"/>
      <c r="K41" s="398"/>
      <c r="L41" s="276"/>
      <c r="M41" s="374"/>
      <c r="N41" s="370"/>
      <c r="O41" s="417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.75" hidden="1" customHeight="1">
      <c r="B42" s="33"/>
      <c r="C42" s="366"/>
      <c r="D42" s="279"/>
      <c r="E42" s="279"/>
      <c r="F42" s="278"/>
      <c r="G42" s="279"/>
      <c r="H42" s="396"/>
      <c r="I42" s="416"/>
      <c r="J42" s="416"/>
      <c r="K42" s="398"/>
      <c r="L42" s="276"/>
      <c r="M42" s="374"/>
      <c r="N42" s="370"/>
      <c r="O42" s="417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.75" hidden="1" customHeight="1">
      <c r="B43" s="33"/>
      <c r="C43" s="366"/>
      <c r="D43" s="279"/>
      <c r="E43" s="279"/>
      <c r="F43" s="278"/>
      <c r="G43" s="279"/>
      <c r="H43" s="396"/>
      <c r="I43" s="416"/>
      <c r="J43" s="416"/>
      <c r="K43" s="398"/>
      <c r="L43" s="276"/>
      <c r="M43" s="374"/>
      <c r="N43" s="370"/>
      <c r="O43" s="417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.75" hidden="1" customHeight="1">
      <c r="B44" s="33"/>
      <c r="C44" s="366"/>
      <c r="D44" s="279"/>
      <c r="E44" s="279"/>
      <c r="F44" s="278"/>
      <c r="G44" s="279"/>
      <c r="H44" s="396"/>
      <c r="I44" s="416"/>
      <c r="J44" s="416"/>
      <c r="K44" s="398"/>
      <c r="L44" s="276"/>
      <c r="M44" s="374"/>
      <c r="N44" s="370"/>
      <c r="O44" s="417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.75" hidden="1" customHeight="1">
      <c r="B45" s="33"/>
      <c r="C45" s="366"/>
      <c r="D45" s="279"/>
      <c r="E45" s="279"/>
      <c r="F45" s="278"/>
      <c r="G45" s="279"/>
      <c r="H45" s="396"/>
      <c r="I45" s="416"/>
      <c r="J45" s="416"/>
      <c r="K45" s="398"/>
      <c r="L45" s="276"/>
      <c r="M45" s="374"/>
      <c r="N45" s="370"/>
      <c r="O45" s="417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.75" hidden="1" customHeight="1">
      <c r="B46" s="33"/>
      <c r="C46" s="366"/>
      <c r="D46" s="279"/>
      <c r="E46" s="279"/>
      <c r="F46" s="278"/>
      <c r="G46" s="279"/>
      <c r="H46" s="396"/>
      <c r="I46" s="416"/>
      <c r="J46" s="416"/>
      <c r="K46" s="398"/>
      <c r="L46" s="276"/>
      <c r="M46" s="374"/>
      <c r="N46" s="370"/>
      <c r="O46" s="417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.75" hidden="1" customHeight="1">
      <c r="B47" s="33"/>
      <c r="C47" s="366"/>
      <c r="D47" s="279"/>
      <c r="E47" s="279"/>
      <c r="F47" s="278"/>
      <c r="G47" s="279"/>
      <c r="H47" s="396"/>
      <c r="I47" s="416"/>
      <c r="J47" s="416"/>
      <c r="K47" s="398"/>
      <c r="L47" s="276"/>
      <c r="M47" s="374"/>
      <c r="N47" s="370"/>
      <c r="O47" s="417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hidden="1" customHeight="1">
      <c r="B48" s="33"/>
      <c r="C48" s="366"/>
      <c r="D48" s="279"/>
      <c r="E48" s="279"/>
      <c r="F48" s="278"/>
      <c r="G48" s="279"/>
      <c r="H48" s="396"/>
      <c r="I48" s="416"/>
      <c r="J48" s="416"/>
      <c r="K48" s="398"/>
      <c r="L48" s="276"/>
      <c r="M48" s="374"/>
      <c r="N48" s="370"/>
      <c r="O48" s="417"/>
      <c r="P48" s="369"/>
      <c r="Q48" s="347"/>
      <c r="S48" s="277">
        <f t="shared" si="0"/>
        <v>0</v>
      </c>
      <c r="T48" s="296" t="e">
        <f t="shared" si="1"/>
        <v>#N/A</v>
      </c>
      <c r="U48" s="296" t="e">
        <f t="shared" si="2"/>
        <v>#N/A</v>
      </c>
      <c r="V48" s="297" t="e">
        <f t="shared" si="3"/>
        <v>#N/A</v>
      </c>
      <c r="W48" s="297" t="e">
        <f t="shared" si="4"/>
        <v>#N/A</v>
      </c>
      <c r="X48" s="297" t="e">
        <f t="shared" si="5"/>
        <v>#N/A</v>
      </c>
      <c r="Y48" s="297" t="e">
        <f t="shared" si="6"/>
        <v>#N/A</v>
      </c>
      <c r="Z48" s="297" t="e">
        <f t="shared" si="7"/>
        <v>#N/A</v>
      </c>
      <c r="AA48" s="296" t="e">
        <f t="shared" si="8"/>
        <v>#N/A</v>
      </c>
    </row>
    <row r="49" spans="1:27" ht="15.75" hidden="1" customHeight="1">
      <c r="B49" s="29"/>
      <c r="C49" s="366"/>
      <c r="D49" s="279"/>
      <c r="E49" s="279"/>
      <c r="F49" s="278"/>
      <c r="G49" s="279"/>
      <c r="H49" s="396"/>
      <c r="I49" s="368"/>
      <c r="J49" s="368"/>
      <c r="K49" s="281"/>
      <c r="L49" s="276"/>
      <c r="M49" s="397"/>
      <c r="N49" s="370"/>
      <c r="O49" s="371"/>
      <c r="P49" s="369"/>
      <c r="Q49" s="347"/>
      <c r="S49" s="277">
        <f t="shared" si="0"/>
        <v>0</v>
      </c>
      <c r="T49" s="296" t="e">
        <f t="shared" si="1"/>
        <v>#N/A</v>
      </c>
      <c r="U49" s="296" t="e">
        <f t="shared" si="2"/>
        <v>#N/A</v>
      </c>
      <c r="V49" s="297" t="e">
        <f t="shared" si="3"/>
        <v>#N/A</v>
      </c>
      <c r="W49" s="297" t="e">
        <f t="shared" si="4"/>
        <v>#N/A</v>
      </c>
      <c r="X49" s="297" t="e">
        <f t="shared" si="5"/>
        <v>#N/A</v>
      </c>
      <c r="Y49" s="297" t="e">
        <f t="shared" si="6"/>
        <v>#N/A</v>
      </c>
      <c r="Z49" s="297" t="e">
        <f t="shared" si="7"/>
        <v>#N/A</v>
      </c>
      <c r="AA49" s="296" t="e">
        <f t="shared" si="8"/>
        <v>#N/A</v>
      </c>
    </row>
    <row r="50" spans="1:27" ht="15.75" hidden="1" customHeight="1">
      <c r="B50" s="29"/>
      <c r="C50" s="366"/>
      <c r="D50" s="279"/>
      <c r="E50" s="279"/>
      <c r="F50" s="278"/>
      <c r="G50" s="279"/>
      <c r="H50" s="396"/>
      <c r="I50" s="368"/>
      <c r="J50" s="368"/>
      <c r="K50" s="281"/>
      <c r="L50" s="276"/>
      <c r="M50" s="397"/>
      <c r="N50" s="370"/>
      <c r="O50" s="371"/>
      <c r="P50" s="369"/>
      <c r="Q50" s="347"/>
      <c r="S50" s="277">
        <f t="shared" si="0"/>
        <v>0</v>
      </c>
      <c r="T50" s="296" t="e">
        <f t="shared" si="1"/>
        <v>#N/A</v>
      </c>
      <c r="U50" s="296" t="e">
        <f t="shared" si="2"/>
        <v>#N/A</v>
      </c>
      <c r="V50" s="297" t="e">
        <f t="shared" si="3"/>
        <v>#N/A</v>
      </c>
      <c r="W50" s="297" t="e">
        <f t="shared" si="4"/>
        <v>#N/A</v>
      </c>
      <c r="X50" s="297" t="e">
        <f t="shared" si="5"/>
        <v>#N/A</v>
      </c>
      <c r="Y50" s="297" t="e">
        <f t="shared" si="6"/>
        <v>#N/A</v>
      </c>
      <c r="Z50" s="297" t="e">
        <f t="shared" si="7"/>
        <v>#N/A</v>
      </c>
      <c r="AA50" s="296" t="e">
        <f t="shared" si="8"/>
        <v>#N/A</v>
      </c>
    </row>
    <row r="51" spans="1:27" ht="15.75" hidden="1" customHeight="1">
      <c r="B51" s="29"/>
      <c r="C51" s="366"/>
      <c r="D51" s="279"/>
      <c r="E51" s="279"/>
      <c r="F51" s="278"/>
      <c r="G51" s="279"/>
      <c r="H51" s="396"/>
      <c r="I51" s="368"/>
      <c r="J51" s="368"/>
      <c r="K51" s="281"/>
      <c r="L51" s="276"/>
      <c r="M51" s="397"/>
      <c r="N51" s="370"/>
      <c r="O51" s="371"/>
      <c r="P51" s="369"/>
      <c r="Q51" s="347"/>
      <c r="S51" s="277">
        <f t="shared" si="0"/>
        <v>0</v>
      </c>
      <c r="T51" s="296" t="e">
        <f t="shared" si="1"/>
        <v>#N/A</v>
      </c>
      <c r="U51" s="296" t="e">
        <f t="shared" si="2"/>
        <v>#N/A</v>
      </c>
      <c r="V51" s="297" t="e">
        <f t="shared" si="3"/>
        <v>#N/A</v>
      </c>
      <c r="W51" s="297" t="e">
        <f t="shared" si="4"/>
        <v>#N/A</v>
      </c>
      <c r="X51" s="297" t="e">
        <f t="shared" si="5"/>
        <v>#N/A</v>
      </c>
      <c r="Y51" s="297" t="e">
        <f t="shared" si="6"/>
        <v>#N/A</v>
      </c>
      <c r="Z51" s="297" t="e">
        <f t="shared" si="7"/>
        <v>#N/A</v>
      </c>
      <c r="AA51" s="296" t="e">
        <f t="shared" si="8"/>
        <v>#N/A</v>
      </c>
    </row>
    <row r="52" spans="1:27" ht="15.75" hidden="1" customHeight="1">
      <c r="B52" s="29"/>
      <c r="C52" s="366"/>
      <c r="D52" s="279"/>
      <c r="E52" s="279"/>
      <c r="F52" s="278"/>
      <c r="G52" s="279"/>
      <c r="H52" s="396"/>
      <c r="I52" s="368"/>
      <c r="J52" s="368"/>
      <c r="K52" s="281"/>
      <c r="L52" s="276"/>
      <c r="M52" s="397"/>
      <c r="N52" s="370"/>
      <c r="O52" s="371"/>
      <c r="P52" s="369"/>
      <c r="Q52" s="347"/>
      <c r="S52" s="277">
        <f t="shared" si="0"/>
        <v>0</v>
      </c>
      <c r="T52" s="296" t="e">
        <f t="shared" si="1"/>
        <v>#N/A</v>
      </c>
      <c r="U52" s="296" t="e">
        <f t="shared" si="2"/>
        <v>#N/A</v>
      </c>
      <c r="V52" s="297" t="e">
        <f t="shared" si="3"/>
        <v>#N/A</v>
      </c>
      <c r="W52" s="297" t="e">
        <f t="shared" si="4"/>
        <v>#N/A</v>
      </c>
      <c r="X52" s="297" t="e">
        <f t="shared" si="5"/>
        <v>#N/A</v>
      </c>
      <c r="Y52" s="297" t="e">
        <f t="shared" si="6"/>
        <v>#N/A</v>
      </c>
      <c r="Z52" s="297" t="e">
        <f t="shared" si="7"/>
        <v>#N/A</v>
      </c>
      <c r="AA52" s="296" t="e">
        <f t="shared" si="8"/>
        <v>#N/A</v>
      </c>
    </row>
    <row r="53" spans="1:27" ht="15.75" hidden="1" customHeight="1">
      <c r="B53" s="29"/>
      <c r="C53" s="366"/>
      <c r="D53" s="279"/>
      <c r="E53" s="279"/>
      <c r="F53" s="278"/>
      <c r="G53" s="279"/>
      <c r="H53" s="396"/>
      <c r="I53" s="368"/>
      <c r="J53" s="368"/>
      <c r="K53" s="281"/>
      <c r="L53" s="276"/>
      <c r="M53" s="397"/>
      <c r="N53" s="370"/>
      <c r="O53" s="371"/>
      <c r="P53" s="369"/>
      <c r="Q53" s="347"/>
      <c r="S53" s="277">
        <f t="shared" si="0"/>
        <v>0</v>
      </c>
      <c r="T53" s="296" t="e">
        <f t="shared" si="1"/>
        <v>#N/A</v>
      </c>
      <c r="U53" s="296" t="e">
        <f t="shared" si="2"/>
        <v>#N/A</v>
      </c>
      <c r="V53" s="297" t="e">
        <f t="shared" si="3"/>
        <v>#N/A</v>
      </c>
      <c r="W53" s="297" t="e">
        <f t="shared" si="4"/>
        <v>#N/A</v>
      </c>
      <c r="X53" s="297" t="e">
        <f t="shared" si="5"/>
        <v>#N/A</v>
      </c>
      <c r="Y53" s="297" t="e">
        <f t="shared" si="6"/>
        <v>#N/A</v>
      </c>
      <c r="Z53" s="297" t="e">
        <f t="shared" si="7"/>
        <v>#N/A</v>
      </c>
      <c r="AA53" s="296" t="e">
        <f t="shared" si="8"/>
        <v>#N/A</v>
      </c>
    </row>
    <row r="54" spans="1:27" ht="14.4" hidden="1">
      <c r="B54" s="29"/>
      <c r="C54" s="366"/>
      <c r="D54" s="279"/>
      <c r="E54" s="279"/>
      <c r="F54" s="278"/>
      <c r="G54" s="279"/>
      <c r="H54" s="396"/>
      <c r="I54" s="368"/>
      <c r="J54" s="368"/>
      <c r="K54" s="281"/>
      <c r="L54" s="276"/>
      <c r="M54" s="374"/>
      <c r="N54" s="370"/>
      <c r="O54" s="371"/>
      <c r="P54" s="369"/>
      <c r="Q54" s="347"/>
      <c r="S54" s="277">
        <f t="shared" si="0"/>
        <v>0</v>
      </c>
      <c r="T54" s="296" t="e">
        <f t="shared" si="1"/>
        <v>#N/A</v>
      </c>
      <c r="U54" s="296" t="e">
        <f t="shared" si="2"/>
        <v>#N/A</v>
      </c>
      <c r="V54" s="297" t="e">
        <f t="shared" si="3"/>
        <v>#N/A</v>
      </c>
      <c r="W54" s="297" t="e">
        <f t="shared" si="4"/>
        <v>#N/A</v>
      </c>
      <c r="X54" s="297" t="e">
        <f t="shared" si="5"/>
        <v>#N/A</v>
      </c>
      <c r="Y54" s="297" t="e">
        <f t="shared" si="6"/>
        <v>#N/A</v>
      </c>
      <c r="Z54" s="297" t="e">
        <f t="shared" si="7"/>
        <v>#N/A</v>
      </c>
      <c r="AA54" s="296" t="e">
        <f t="shared" si="8"/>
        <v>#N/A</v>
      </c>
    </row>
    <row r="55" spans="1:27" ht="15.75" customHeight="1" thickBot="1">
      <c r="B55" s="358"/>
      <c r="C55" s="358"/>
      <c r="D55" s="358"/>
      <c r="E55" s="358"/>
      <c r="F55" s="294"/>
      <c r="G55" s="294"/>
      <c r="H55" s="348"/>
      <c r="I55" s="481" t="s">
        <v>34</v>
      </c>
      <c r="J55" s="481"/>
      <c r="K55" s="481"/>
      <c r="L55" s="481"/>
      <c r="M55" s="481"/>
      <c r="N55" s="481"/>
      <c r="O55" s="1"/>
      <c r="P55" s="12"/>
      <c r="S55" s="277"/>
      <c r="T55" s="296"/>
      <c r="U55" s="296"/>
      <c r="V55" s="297"/>
      <c r="W55" s="297"/>
      <c r="X55" s="297"/>
      <c r="Y55" s="297"/>
      <c r="Z55" s="297"/>
      <c r="AA55" s="296"/>
    </row>
    <row r="56" spans="1:27" ht="15" thickBot="1">
      <c r="B56" s="388" t="s">
        <v>145</v>
      </c>
      <c r="C56" s="388"/>
      <c r="D56" s="459" t="s">
        <v>35</v>
      </c>
      <c r="E56" s="460"/>
      <c r="F56" s="294"/>
      <c r="G56" s="294"/>
      <c r="H56" s="23"/>
      <c r="I56" s="24" t="s">
        <v>17</v>
      </c>
      <c r="J56" s="25" t="s">
        <v>146</v>
      </c>
      <c r="K56" s="26" t="s">
        <v>138</v>
      </c>
      <c r="L56" s="25" t="s">
        <v>37</v>
      </c>
      <c r="M56" s="25" t="s">
        <v>38</v>
      </c>
      <c r="N56" s="27" t="s">
        <v>39</v>
      </c>
      <c r="O56" s="294"/>
      <c r="P56" s="12"/>
      <c r="S56" s="277"/>
      <c r="T56" s="296"/>
      <c r="U56" s="296"/>
      <c r="V56" s="297"/>
      <c r="W56" s="297"/>
      <c r="X56" s="297"/>
      <c r="Y56" s="297"/>
      <c r="Z56" s="297"/>
      <c r="AA56" s="296"/>
    </row>
    <row r="57" spans="1:27" ht="15" customHeight="1">
      <c r="A57" s="28"/>
      <c r="B57" s="535" t="str">
        <f>I57</f>
        <v>CARIB</v>
      </c>
      <c r="C57" s="362" cm="1">
        <f t="array" ref="C57:C64">[23]Process!$D$209:$D$216</f>
        <v>12.06</v>
      </c>
      <c r="D57" s="485">
        <v>11.88</v>
      </c>
      <c r="E57" s="486"/>
      <c r="F57" s="294"/>
      <c r="G57" s="294"/>
      <c r="H57" s="294"/>
      <c r="I57" s="29" t="s">
        <v>6</v>
      </c>
      <c r="J57" s="323">
        <f>AVERAGE(I10:I16)</f>
        <v>99.522175181417552</v>
      </c>
      <c r="K57" s="284">
        <f>COUNTA([23]Brewhouse!$A$255:$A$261)</f>
        <v>7</v>
      </c>
      <c r="L57" s="302">
        <f>AVERAGE([23]Brewhouse!$AU$255:$AU$261)</f>
        <v>99.522175181417552</v>
      </c>
      <c r="M57" s="302">
        <f>AVERAGE([23]Brewhouse!$AU$102:$AU$171,[23]Brewhouse!$AU$173:$AU$253,[23]Brewhouse!$AU$255:$AU$261)</f>
        <v>95.780511895552991</v>
      </c>
      <c r="N57" s="30">
        <v>98</v>
      </c>
      <c r="O57" s="11"/>
      <c r="P57" s="31"/>
      <c r="S57" s="277"/>
      <c r="T57" s="296"/>
      <c r="U57" s="296"/>
      <c r="V57" s="297"/>
      <c r="W57" s="297"/>
      <c r="X57" s="297"/>
      <c r="Y57" s="297"/>
      <c r="Z57" s="297"/>
      <c r="AA57" s="296"/>
    </row>
    <row r="58" spans="1:27" ht="15" customHeight="1">
      <c r="A58" s="28"/>
      <c r="B58" s="533"/>
      <c r="C58" s="349">
        <v>11.9</v>
      </c>
      <c r="D58" s="487"/>
      <c r="E58" s="488"/>
      <c r="F58" s="294"/>
      <c r="G58" s="294"/>
      <c r="H58" s="32"/>
      <c r="I58" s="33" t="s">
        <v>9</v>
      </c>
      <c r="J58" s="323">
        <f>AVERAGE(I18)</f>
        <v>96.818003369761513</v>
      </c>
      <c r="K58" s="284">
        <f>COUNTA([24]Brewhouse!$A$105)</f>
        <v>1</v>
      </c>
      <c r="L58" s="302">
        <f>AVERAGE([24]Brewhouse!$AS$105)</f>
        <v>96.818003369761513</v>
      </c>
      <c r="M58" s="302">
        <f>AVERAGE([24]Brewhouse!$AS$15:$AS$64,[24]Brewhouse!$AS$66:$AS$103,[24]Brewhouse!$AS$105)</f>
        <v>95.898348034482268</v>
      </c>
      <c r="N58" s="30">
        <v>98</v>
      </c>
      <c r="O58" s="11"/>
      <c r="P58" s="31"/>
      <c r="S58" s="277"/>
      <c r="T58" s="296"/>
      <c r="U58" s="296"/>
      <c r="V58" s="297"/>
      <c r="W58" s="297"/>
      <c r="X58" s="297"/>
      <c r="Y58" s="297"/>
      <c r="Z58" s="297"/>
      <c r="AA58" s="296"/>
    </row>
    <row r="59" spans="1:27" ht="14.7" customHeight="1">
      <c r="A59" s="28"/>
      <c r="B59" s="533"/>
      <c r="C59" s="349">
        <v>11.8</v>
      </c>
      <c r="D59" s="485">
        <v>11.92</v>
      </c>
      <c r="E59" s="486"/>
      <c r="F59" s="294"/>
      <c r="G59" s="294"/>
      <c r="H59" s="32"/>
      <c r="I59" s="34" t="s">
        <v>12</v>
      </c>
      <c r="J59" s="280"/>
      <c r="K59" s="284"/>
      <c r="L59" s="302"/>
      <c r="M59" s="302">
        <f>AVERAGE([25]Brewhouse!$AU$4:$AU$7,[25]Brewhouse!$AU$9:$AU$22)</f>
        <v>96.218977154617249</v>
      </c>
      <c r="N59" s="30">
        <v>98</v>
      </c>
      <c r="O59" s="11"/>
      <c r="P59" s="31"/>
      <c r="S59" s="23"/>
      <c r="T59" s="1"/>
      <c r="U59" s="1"/>
      <c r="AA59" s="285"/>
    </row>
    <row r="60" spans="1:27" ht="14.7" customHeight="1">
      <c r="A60" s="28"/>
      <c r="B60" s="533"/>
      <c r="C60" s="349">
        <v>11.7</v>
      </c>
      <c r="D60" s="487"/>
      <c r="E60" s="488"/>
      <c r="F60" s="294"/>
      <c r="G60" s="294"/>
      <c r="H60" s="32"/>
      <c r="I60" s="22" t="s">
        <v>33</v>
      </c>
      <c r="J60" s="280"/>
      <c r="K60" s="284"/>
      <c r="L60" s="302"/>
      <c r="M60" s="302">
        <f>AVERAGE([26]Brewhouse!$AV$5:$AV$14,[26]Brewhouse!$AV$16:$AV$19)</f>
        <v>98.230957815544443</v>
      </c>
      <c r="N60" s="30">
        <v>98</v>
      </c>
      <c r="O60" s="11"/>
      <c r="P60" s="31"/>
      <c r="S60" s="23"/>
      <c r="T60" s="1"/>
      <c r="U60" s="1"/>
      <c r="AA60" s="285"/>
    </row>
    <row r="61" spans="1:27" ht="14.7" customHeight="1">
      <c r="A61" s="28"/>
      <c r="B61" s="533"/>
      <c r="C61" s="349">
        <v>11.89</v>
      </c>
      <c r="D61" s="485">
        <v>11.94</v>
      </c>
      <c r="E61" s="486"/>
      <c r="F61" s="294"/>
      <c r="G61" s="294"/>
      <c r="H61" s="32"/>
      <c r="I61" s="35" t="s">
        <v>29</v>
      </c>
      <c r="J61" s="280"/>
      <c r="K61" s="284"/>
      <c r="L61" s="302"/>
      <c r="M61" s="302"/>
      <c r="N61" s="30">
        <v>98</v>
      </c>
      <c r="O61" s="11"/>
      <c r="P61" s="31"/>
      <c r="S61" s="23"/>
    </row>
    <row r="62" spans="1:27" ht="14.7" customHeight="1">
      <c r="A62" s="28"/>
      <c r="B62" s="533"/>
      <c r="C62" s="349">
        <v>11.76</v>
      </c>
      <c r="D62" s="487"/>
      <c r="E62" s="488"/>
      <c r="F62" s="294"/>
      <c r="G62" s="294"/>
      <c r="H62" s="32"/>
      <c r="I62" s="36" t="s">
        <v>15</v>
      </c>
      <c r="J62" s="323"/>
      <c r="K62" s="284"/>
      <c r="L62" s="302"/>
      <c r="M62" s="302">
        <f>AVERAGE([27]Brewhouse!$AT$4:$AT$11)</f>
        <v>94.812616598822359</v>
      </c>
      <c r="N62" s="30">
        <v>98</v>
      </c>
      <c r="O62" s="11"/>
      <c r="P62" s="31"/>
      <c r="S62" s="23"/>
    </row>
    <row r="63" spans="1:27" ht="14.7" customHeight="1">
      <c r="A63" s="28"/>
      <c r="B63" s="533"/>
      <c r="C63" s="349">
        <v>11.87</v>
      </c>
      <c r="D63" s="485">
        <v>11.89</v>
      </c>
      <c r="E63" s="486"/>
      <c r="F63" s="294"/>
      <c r="G63" s="294"/>
      <c r="H63" s="32"/>
      <c r="I63" s="37" t="s">
        <v>16</v>
      </c>
      <c r="J63" s="323"/>
      <c r="K63" s="284">
        <f>COUNTA([22]Brewhouse!$A$22:$A$29)</f>
        <v>8</v>
      </c>
      <c r="L63" s="302">
        <f>AVERAGE([22]Brewhouse!$AY$22:$AY$29)</f>
        <v>98.065834237903474</v>
      </c>
      <c r="M63" s="302">
        <f>AVERAGE([22]Brewhouse!$AY$6:$AY$13,[22]Brewhouse!$AY$15:$AY$20,[22]Brewhouse!$AY$22:$AY$29)</f>
        <v>95.660462473217876</v>
      </c>
      <c r="N63" s="30">
        <v>98</v>
      </c>
      <c r="O63" s="11"/>
      <c r="P63" s="31" t="s">
        <v>41</v>
      </c>
      <c r="S63" s="23"/>
      <c r="X63" s="275" t="s">
        <v>41</v>
      </c>
    </row>
    <row r="64" spans="1:27" ht="14.7" customHeight="1">
      <c r="A64" s="28"/>
      <c r="B64" s="533"/>
      <c r="C64" s="349">
        <v>11.94</v>
      </c>
      <c r="D64" s="487"/>
      <c r="E64" s="488"/>
      <c r="F64" s="294"/>
      <c r="G64" s="294"/>
      <c r="H64" s="32"/>
      <c r="I64" s="415" t="s">
        <v>158</v>
      </c>
      <c r="J64" s="326"/>
      <c r="K64" s="284"/>
      <c r="L64" s="305"/>
      <c r="M64" s="305">
        <f>AVERAGE([28]Brewhouse!$AU$5:$AU$8)</f>
        <v>91.006888337619571</v>
      </c>
      <c r="N64" s="30">
        <v>98</v>
      </c>
      <c r="O64" s="11"/>
      <c r="P64" s="31"/>
      <c r="S64" s="23"/>
    </row>
    <row r="65" spans="1:57" ht="14.7" customHeight="1">
      <c r="A65" s="28"/>
      <c r="B65" s="533"/>
      <c r="C65" s="349"/>
      <c r="D65" s="485"/>
      <c r="E65" s="486"/>
      <c r="F65" s="294"/>
      <c r="G65" s="294"/>
      <c r="H65" s="32"/>
      <c r="I65" s="414" t="s">
        <v>157</v>
      </c>
      <c r="J65" s="326"/>
      <c r="K65" s="284"/>
      <c r="L65" s="305"/>
      <c r="M65" s="305"/>
      <c r="N65" s="30"/>
      <c r="O65" s="11"/>
      <c r="P65" s="31"/>
      <c r="S65" s="23"/>
    </row>
    <row r="66" spans="1:57" ht="15" customHeight="1" thickBot="1">
      <c r="A66" s="28"/>
      <c r="B66" s="533"/>
      <c r="C66" s="349"/>
      <c r="D66" s="487"/>
      <c r="E66" s="488"/>
      <c r="F66" s="294"/>
      <c r="G66" s="294"/>
      <c r="H66" s="32"/>
      <c r="I66" s="410" t="s">
        <v>156</v>
      </c>
      <c r="J66" s="327"/>
      <c r="K66" s="411"/>
      <c r="L66" s="412"/>
      <c r="M66" s="412"/>
      <c r="N66" s="413">
        <v>98</v>
      </c>
      <c r="O66" s="11"/>
      <c r="P66" s="31"/>
      <c r="S66" s="23"/>
    </row>
    <row r="67" spans="1:57" ht="15" customHeight="1" thickBot="1">
      <c r="A67" s="28"/>
      <c r="B67" s="533"/>
      <c r="C67" s="349"/>
      <c r="D67" s="485"/>
      <c r="E67" s="486"/>
      <c r="F67" s="294"/>
      <c r="G67" s="294"/>
      <c r="H67" s="32"/>
      <c r="I67" s="1"/>
      <c r="J67" s="39"/>
      <c r="K67" s="408">
        <f>SUM(K57:K66)</f>
        <v>16</v>
      </c>
      <c r="L67" s="409">
        <f>((L57*K57)+(L58*K58)+(L59*K59)+(L60*K60)+(L61*K61)+(K64*L64)+(L62*K62)+(L63*K63)+(L66*K66))/(K67)</f>
        <v>98.624993971432019</v>
      </c>
      <c r="M67" s="409">
        <f>AVERAGE('[29]Jan 31st'!$L$65,'[30]Feb 28th'!$L$35,L67)</f>
        <v>96.689323466277017</v>
      </c>
      <c r="N67" s="40">
        <v>98</v>
      </c>
      <c r="O67" s="11"/>
      <c r="P67" s="31"/>
      <c r="S67" s="23"/>
    </row>
    <row r="68" spans="1:57" ht="15" thickBot="1">
      <c r="B68" s="534"/>
      <c r="C68" s="350"/>
      <c r="D68" s="487"/>
      <c r="E68" s="488"/>
      <c r="F68" s="294"/>
      <c r="G68" s="42"/>
      <c r="H68" s="41"/>
      <c r="I68" s="42"/>
      <c r="J68" s="42"/>
      <c r="K68" s="351"/>
      <c r="L68" s="348"/>
      <c r="M68" s="348"/>
      <c r="N68" s="11"/>
      <c r="O68" s="294"/>
      <c r="P68" s="12"/>
      <c r="S68" s="23"/>
    </row>
    <row r="69" spans="1:57" ht="15" thickBot="1">
      <c r="B69" s="532"/>
      <c r="C69" s="362"/>
      <c r="D69" s="498"/>
      <c r="E69" s="499"/>
      <c r="F69" s="43"/>
      <c r="G69" s="41"/>
      <c r="H69" s="41"/>
      <c r="I69" s="42"/>
      <c r="J69" s="501" t="s">
        <v>129</v>
      </c>
      <c r="K69" s="501"/>
      <c r="L69" s="294"/>
      <c r="M69" s="294"/>
      <c r="N69" s="294"/>
      <c r="O69" s="294"/>
      <c r="P69" s="12"/>
      <c r="S69" s="23" t="s">
        <v>41</v>
      </c>
    </row>
    <row r="70" spans="1:57" ht="13.5" customHeight="1" thickBot="1">
      <c r="B70" s="533"/>
      <c r="C70" s="349"/>
      <c r="D70" s="500"/>
      <c r="E70" s="488"/>
      <c r="F70" s="43"/>
      <c r="G70" s="41"/>
      <c r="H70" s="41"/>
      <c r="I70" s="42"/>
      <c r="J70" s="418" t="s">
        <v>17</v>
      </c>
      <c r="K70" s="293" t="s">
        <v>147</v>
      </c>
      <c r="L70" s="502" t="s">
        <v>136</v>
      </c>
      <c r="M70" s="502"/>
      <c r="N70" s="503"/>
      <c r="O70" s="294"/>
      <c r="P70" s="12"/>
      <c r="S70" s="23"/>
    </row>
    <row r="71" spans="1:57" ht="15" customHeight="1" thickBot="1">
      <c r="B71" s="533"/>
      <c r="C71" s="349"/>
      <c r="D71" s="504"/>
      <c r="E71" s="486"/>
      <c r="F71" s="43"/>
      <c r="G71" s="41"/>
      <c r="H71" s="41"/>
      <c r="I71" s="42"/>
      <c r="J71" s="419" t="s">
        <v>6</v>
      </c>
      <c r="K71" s="324">
        <f>COUNTA(B10:B16)</f>
        <v>7</v>
      </c>
      <c r="L71" s="343" t="s">
        <v>37</v>
      </c>
      <c r="M71" s="307" t="s">
        <v>38</v>
      </c>
      <c r="N71" s="307" t="s">
        <v>84</v>
      </c>
      <c r="O71" s="294"/>
      <c r="P71" s="12"/>
      <c r="S71" s="23"/>
    </row>
    <row r="72" spans="1:57" ht="15.75" customHeight="1" thickBot="1">
      <c r="B72" s="533"/>
      <c r="C72" s="349"/>
      <c r="D72" s="500"/>
      <c r="E72" s="488"/>
      <c r="F72" s="43"/>
      <c r="G72" s="41"/>
      <c r="H72" s="41"/>
      <c r="I72" s="42"/>
      <c r="J72" s="420" t="s">
        <v>9</v>
      </c>
      <c r="K72" s="324">
        <f>COUNTA(C18)</f>
        <v>1</v>
      </c>
      <c r="L72" s="344">
        <f>AVERAGE('Mar. 3rd'!K80,K81)</f>
        <v>8</v>
      </c>
      <c r="M72" s="325">
        <f>AVERAGE('[29]Jan 29th '!$M$70,'[30]Feb 28th'!$L$40,L72)</f>
        <v>7.1703296703296706</v>
      </c>
      <c r="N72" s="400"/>
      <c r="O72" s="294"/>
      <c r="P72" s="12"/>
      <c r="S72" s="23"/>
    </row>
    <row r="73" spans="1:57" ht="15" customHeight="1">
      <c r="B73" s="533"/>
      <c r="C73" s="349"/>
      <c r="D73" s="504"/>
      <c r="E73" s="486"/>
      <c r="F73" s="43"/>
      <c r="G73" s="41"/>
      <c r="H73" s="41"/>
      <c r="I73" s="42"/>
      <c r="J73" s="421" t="s">
        <v>40</v>
      </c>
      <c r="K73" s="324"/>
      <c r="L73" s="294"/>
      <c r="M73" s="294"/>
      <c r="N73" s="294"/>
      <c r="O73" s="294"/>
      <c r="P73" s="12"/>
      <c r="S73" s="23"/>
    </row>
    <row r="74" spans="1:57" ht="15" customHeight="1">
      <c r="B74" s="533"/>
      <c r="C74" s="349"/>
      <c r="D74" s="500"/>
      <c r="E74" s="488"/>
      <c r="F74" s="43"/>
      <c r="G74" s="41"/>
      <c r="H74" s="41"/>
      <c r="I74" s="42"/>
      <c r="J74" s="422" t="s">
        <v>33</v>
      </c>
      <c r="K74" s="324"/>
      <c r="L74" s="294"/>
      <c r="M74" s="294"/>
      <c r="N74" s="294"/>
      <c r="O74" s="294"/>
      <c r="P74" s="12"/>
      <c r="S74" s="23"/>
    </row>
    <row r="75" spans="1:57" ht="14.4">
      <c r="B75" s="533"/>
      <c r="C75" s="349"/>
      <c r="D75" s="504"/>
      <c r="E75" s="486"/>
      <c r="F75" s="43"/>
      <c r="G75" s="41"/>
      <c r="H75" s="41"/>
      <c r="I75" s="42"/>
      <c r="J75" s="423" t="s">
        <v>16</v>
      </c>
      <c r="K75" s="324"/>
      <c r="L75" s="294"/>
      <c r="M75" s="294"/>
      <c r="N75" s="294"/>
      <c r="O75" s="294"/>
      <c r="P75" s="12"/>
      <c r="S75" s="23"/>
      <c r="BD75" s="44"/>
      <c r="BE75" s="44"/>
    </row>
    <row r="76" spans="1:57" ht="14.4">
      <c r="B76" s="533"/>
      <c r="C76" s="349"/>
      <c r="D76" s="500"/>
      <c r="E76" s="488"/>
      <c r="F76" s="43"/>
      <c r="G76" s="41"/>
      <c r="H76" s="41"/>
      <c r="I76" s="42"/>
      <c r="J76" s="424" t="s">
        <v>15</v>
      </c>
      <c r="K76" s="324"/>
      <c r="L76" s="294"/>
      <c r="M76" s="294"/>
      <c r="N76" s="294"/>
      <c r="O76" s="294"/>
      <c r="P76" s="12"/>
      <c r="S76" s="23"/>
      <c r="BD76" s="44"/>
      <c r="BE76" s="44"/>
    </row>
    <row r="77" spans="1:57" ht="14.4">
      <c r="B77" s="533"/>
      <c r="C77" s="349"/>
      <c r="D77" s="505"/>
      <c r="E77" s="490"/>
      <c r="F77" s="43"/>
      <c r="G77" s="41"/>
      <c r="H77" s="41"/>
      <c r="I77" s="42"/>
      <c r="J77" s="424" t="s">
        <v>149</v>
      </c>
      <c r="K77" s="324"/>
      <c r="L77" s="294"/>
      <c r="M77" s="294"/>
      <c r="N77" s="294"/>
      <c r="O77" s="294"/>
      <c r="P77" s="12"/>
      <c r="S77" s="23"/>
      <c r="BD77" s="44"/>
      <c r="BE77" s="44"/>
    </row>
    <row r="78" spans="1:57" ht="15" thickBot="1">
      <c r="B78" s="534"/>
      <c r="C78" s="350"/>
      <c r="D78" s="506"/>
      <c r="E78" s="507"/>
      <c r="F78" s="43"/>
      <c r="G78" s="41"/>
      <c r="H78" s="41"/>
      <c r="I78" s="42"/>
      <c r="J78" s="424" t="s">
        <v>148</v>
      </c>
      <c r="K78" s="324"/>
      <c r="L78" s="294"/>
      <c r="M78" s="294"/>
      <c r="N78" s="294"/>
      <c r="O78" s="294"/>
      <c r="P78" s="12"/>
      <c r="S78" s="23"/>
      <c r="BD78" s="44"/>
      <c r="BE78" s="44"/>
    </row>
    <row r="79" spans="1:57" ht="17.7" customHeight="1" thickBot="1">
      <c r="B79" s="312" t="s">
        <v>139</v>
      </c>
      <c r="C79" s="313"/>
      <c r="D79" s="508">
        <f>AVERAGE(D57:E78)</f>
        <v>11.907500000000001</v>
      </c>
      <c r="E79" s="509"/>
      <c r="F79" s="43"/>
      <c r="G79" s="41"/>
      <c r="H79" s="41"/>
      <c r="I79" s="42"/>
      <c r="J79" s="425" t="s">
        <v>134</v>
      </c>
      <c r="K79" s="324"/>
      <c r="L79" s="294"/>
      <c r="M79" s="294"/>
      <c r="N79" s="294"/>
      <c r="O79" s="294"/>
      <c r="P79" s="12"/>
      <c r="S79" s="23"/>
      <c r="BD79" s="44"/>
      <c r="BE79" s="44"/>
    </row>
    <row r="80" spans="1:57" ht="17.7" customHeight="1">
      <c r="B80" s="363"/>
      <c r="C80" s="364"/>
      <c r="D80" s="365"/>
      <c r="E80" s="365"/>
      <c r="F80" s="43"/>
      <c r="G80" s="41"/>
      <c r="H80" s="41"/>
      <c r="I80" s="42"/>
      <c r="J80" s="425" t="s">
        <v>131</v>
      </c>
      <c r="K80" s="324"/>
      <c r="L80" s="294"/>
      <c r="M80" s="294"/>
      <c r="N80" s="294"/>
      <c r="O80" s="294"/>
      <c r="P80" s="12"/>
      <c r="S80" s="23"/>
      <c r="BD80" s="44"/>
      <c r="BE80" s="44"/>
    </row>
    <row r="81" spans="2:58" ht="15.75" customHeight="1">
      <c r="B81" s="45"/>
      <c r="C81" s="11"/>
      <c r="D81" s="11"/>
      <c r="E81" s="46"/>
      <c r="F81" s="23"/>
      <c r="G81" s="11"/>
      <c r="H81" s="41"/>
      <c r="I81" s="42"/>
      <c r="J81" s="426" t="s">
        <v>130</v>
      </c>
      <c r="K81" s="324">
        <f>SUM(K71:K80)</f>
        <v>8</v>
      </c>
      <c r="L81" s="294"/>
      <c r="M81" s="294"/>
      <c r="N81" s="294"/>
      <c r="O81" s="294"/>
      <c r="P81" s="12"/>
    </row>
    <row r="82" spans="2:58" ht="20.25" customHeight="1">
      <c r="B82" s="15" t="s">
        <v>42</v>
      </c>
      <c r="C82" s="1" t="s">
        <v>43</v>
      </c>
      <c r="D82" s="1"/>
      <c r="E82" s="1"/>
      <c r="I82" s="42"/>
      <c r="L82" s="294"/>
      <c r="P82" s="334"/>
    </row>
    <row r="83" spans="2:58" ht="15" customHeight="1" thickBot="1"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8"/>
      <c r="O83" s="48"/>
      <c r="P83" s="49"/>
      <c r="X83" s="275" t="s">
        <v>41</v>
      </c>
    </row>
    <row r="84" spans="2:58" ht="15" customHeight="1" thickBot="1">
      <c r="B84" s="510" t="s">
        <v>17</v>
      </c>
      <c r="C84" s="510" t="s">
        <v>44</v>
      </c>
      <c r="D84" s="512" t="s">
        <v>45</v>
      </c>
      <c r="E84" s="467" t="s">
        <v>46</v>
      </c>
      <c r="F84" s="527" t="s">
        <v>47</v>
      </c>
      <c r="G84" s="521" t="s">
        <v>48</v>
      </c>
      <c r="H84" s="510" t="s">
        <v>49</v>
      </c>
      <c r="I84" s="510" t="s">
        <v>50</v>
      </c>
      <c r="J84" s="515" t="s">
        <v>28</v>
      </c>
      <c r="K84" s="465" t="s">
        <v>51</v>
      </c>
      <c r="L84" s="477" t="s">
        <v>52</v>
      </c>
      <c r="M84" s="515" t="s">
        <v>53</v>
      </c>
      <c r="N84" s="77"/>
      <c r="O84" s="13"/>
      <c r="P84" s="50"/>
    </row>
    <row r="85" spans="2:58" ht="28.5" customHeight="1" thickTop="1" thickBot="1">
      <c r="B85" s="511"/>
      <c r="C85" s="511"/>
      <c r="D85" s="513"/>
      <c r="E85" s="514"/>
      <c r="F85" s="528"/>
      <c r="G85" s="522"/>
      <c r="H85" s="511"/>
      <c r="I85" s="511"/>
      <c r="J85" s="516"/>
      <c r="K85" s="525"/>
      <c r="L85" s="526"/>
      <c r="M85" s="516"/>
      <c r="N85" s="77"/>
      <c r="O85" s="13"/>
      <c r="P85" s="50"/>
      <c r="Q85" s="355"/>
      <c r="R85" s="355"/>
      <c r="S85" s="355"/>
      <c r="T85" s="355"/>
      <c r="U85" s="51">
        <v>43466</v>
      </c>
      <c r="V85" s="51">
        <v>43467</v>
      </c>
      <c r="W85" s="51">
        <v>43468</v>
      </c>
      <c r="X85" s="51">
        <v>43469</v>
      </c>
      <c r="Y85" s="51">
        <v>43470</v>
      </c>
      <c r="Z85" s="51">
        <v>43471</v>
      </c>
      <c r="AA85" s="51">
        <v>43472</v>
      </c>
      <c r="AB85" s="51">
        <v>43473</v>
      </c>
      <c r="AC85" s="51">
        <v>43474</v>
      </c>
      <c r="AD85" s="51">
        <v>43475</v>
      </c>
      <c r="AE85" s="51">
        <v>43476</v>
      </c>
      <c r="AF85" s="51">
        <v>43477</v>
      </c>
      <c r="AG85" s="51">
        <v>43478</v>
      </c>
      <c r="AH85" s="51">
        <v>43479</v>
      </c>
      <c r="AI85" s="51">
        <v>43480</v>
      </c>
      <c r="AJ85" s="51">
        <v>43481</v>
      </c>
      <c r="AK85" s="51">
        <v>43482</v>
      </c>
      <c r="AL85" s="51">
        <v>43483</v>
      </c>
      <c r="AM85" s="51">
        <v>43484</v>
      </c>
      <c r="AN85" s="51">
        <v>43485</v>
      </c>
      <c r="AO85" s="51">
        <v>43486</v>
      </c>
      <c r="AP85" s="51">
        <v>43487</v>
      </c>
      <c r="AQ85" s="51">
        <v>43488</v>
      </c>
      <c r="AR85" s="51">
        <v>43489</v>
      </c>
      <c r="AS85" s="51">
        <v>43490</v>
      </c>
      <c r="AT85" s="51">
        <v>43491</v>
      </c>
      <c r="AU85" s="51">
        <v>43492</v>
      </c>
      <c r="AV85" s="51">
        <v>43493</v>
      </c>
      <c r="AW85" s="51">
        <v>43494</v>
      </c>
      <c r="AX85" s="51">
        <v>43495</v>
      </c>
      <c r="AY85" s="51">
        <v>43496</v>
      </c>
    </row>
    <row r="86" spans="2:58" s="54" customFormat="1" ht="56.4" customHeight="1" thickBot="1">
      <c r="B86" s="430" t="str">
        <f>J71</f>
        <v>CARIB</v>
      </c>
      <c r="C86" s="283">
        <v>45720</v>
      </c>
      <c r="D86" s="377">
        <f>[31]March_2025!$G$3</f>
        <v>406.3</v>
      </c>
      <c r="E86" s="378"/>
      <c r="F86" s="379">
        <f>SUM([32]CARIB!$L$6:$L$13)</f>
        <v>396</v>
      </c>
      <c r="G86" s="303">
        <f>[31]March_2025!$G$7</f>
        <v>375.1</v>
      </c>
      <c r="H86" s="320">
        <f>(D86-F86)/D86*100</f>
        <v>2.5350726064484399</v>
      </c>
      <c r="I86" s="322">
        <f>((F86+E86)-G86)/(F86+E86)*100</f>
        <v>5.2777777777777724</v>
      </c>
      <c r="J86" s="390" t="s">
        <v>163</v>
      </c>
      <c r="K86" s="433">
        <f>[33]March_2025!$G$18</f>
        <v>0.93775000000000008</v>
      </c>
      <c r="L86" s="314">
        <f>(((D86+E86)-G86)/(D86+E86))*100</f>
        <v>7.679054885552544</v>
      </c>
      <c r="M86" s="357" t="s">
        <v>164</v>
      </c>
      <c r="N86" s="13"/>
      <c r="O86" s="13"/>
      <c r="P86" s="50"/>
      <c r="T86" s="272" t="s">
        <v>54</v>
      </c>
      <c r="U86" s="279"/>
      <c r="V86" s="279"/>
      <c r="W86" s="279"/>
      <c r="X86" s="279"/>
      <c r="Y86" s="279"/>
      <c r="Z86" s="279"/>
      <c r="AA86" s="279"/>
      <c r="AB86" s="279"/>
      <c r="AC86" s="279"/>
      <c r="AD86" s="279"/>
      <c r="AE86" s="279"/>
      <c r="AF86" s="279"/>
      <c r="AG86" s="279"/>
      <c r="AH86" s="279"/>
      <c r="AI86" s="279"/>
      <c r="AJ86" s="279"/>
      <c r="AK86" s="279"/>
      <c r="AL86" s="279"/>
      <c r="AM86" s="279"/>
      <c r="AN86" s="279"/>
      <c r="AO86" s="279"/>
      <c r="AP86" s="279"/>
      <c r="AQ86" s="279"/>
      <c r="AR86" s="279"/>
      <c r="AS86" s="279"/>
      <c r="AT86" s="279"/>
      <c r="AU86" s="279"/>
      <c r="AV86" s="279"/>
      <c r="AW86" s="279"/>
      <c r="AX86" s="279"/>
    </row>
    <row r="87" spans="2:58" s="54" customFormat="1" ht="18.75" customHeight="1" thickBot="1">
      <c r="B87" s="387"/>
      <c r="C87" s="283"/>
      <c r="D87" s="279"/>
      <c r="E87" s="279"/>
      <c r="F87" s="279"/>
      <c r="G87" s="279"/>
      <c r="H87" s="320"/>
      <c r="I87" s="322"/>
      <c r="J87" s="389"/>
      <c r="K87" s="434"/>
      <c r="L87" s="314"/>
      <c r="M87" s="384"/>
      <c r="N87" s="13"/>
      <c r="O87" s="13"/>
      <c r="P87" s="50"/>
      <c r="T87" s="272" t="s">
        <v>51</v>
      </c>
      <c r="U87" s="57" t="e">
        <f>[20]January_2019!D8</f>
        <v>#DIV/0!</v>
      </c>
      <c r="V87" s="57">
        <f>[20]January_2019!E8</f>
        <v>1.0319298245614037</v>
      </c>
      <c r="W87" s="57">
        <f>[20]January_2019!F8</f>
        <v>1.7789473684210526</v>
      </c>
      <c r="X87" s="57">
        <f>[20]January_2019!G8</f>
        <v>0.51929824561403504</v>
      </c>
      <c r="Y87" s="57" t="e">
        <f>[20]January_2019!H8</f>
        <v>#DIV/0!</v>
      </c>
      <c r="Z87" s="57" t="e">
        <f>[20]January_2019!I8</f>
        <v>#DIV/0!</v>
      </c>
      <c r="AA87" s="57">
        <f>[20]January_2019!J8</f>
        <v>1.365263157894737</v>
      </c>
      <c r="AB87" s="57" t="e">
        <f>[20]January_2019!K8</f>
        <v>#DIV/0!</v>
      </c>
      <c r="AC87" s="57">
        <f>[20]January_2019!L8</f>
        <v>1.0028070175438597</v>
      </c>
      <c r="AD87" s="57">
        <f>[20]January_2019!M8</f>
        <v>1.7828070175438597</v>
      </c>
      <c r="AE87" s="57" t="e">
        <f>[20]January_2019!N8</f>
        <v>#DIV/0!</v>
      </c>
      <c r="AF87" s="57" t="e">
        <f>[20]January_2019!O8</f>
        <v>#DIV/0!</v>
      </c>
      <c r="AG87" s="57">
        <f>[20]January_2019!P8</f>
        <v>0.19222222222222221</v>
      </c>
      <c r="AH87" s="57">
        <f>[20]January_2019!Q8</f>
        <v>0.52219298245614032</v>
      </c>
      <c r="AI87" s="57">
        <f>[20]January_2019!R8</f>
        <v>0.42912280701754385</v>
      </c>
      <c r="AJ87" s="57" t="e">
        <f>[20]January_2019!S8</f>
        <v>#DIV/0!</v>
      </c>
      <c r="AK87" s="57">
        <f>[20]January_2019!T8</f>
        <v>1.0340350877192983</v>
      </c>
      <c r="AL87" s="57">
        <f>[20]January_2019!U8</f>
        <v>0.98421052631578942</v>
      </c>
      <c r="AM87" s="57" t="e">
        <f>[20]January_2019!V8</f>
        <v>#DIV/0!</v>
      </c>
      <c r="AN87" s="57" t="e">
        <f>[20]January_2019!W8</f>
        <v>#DIV/0!</v>
      </c>
      <c r="AO87" s="57">
        <f>[20]January_2019!X8</f>
        <v>0.66052631578947374</v>
      </c>
      <c r="AP87" s="57">
        <f>[20]January_2019!Y8</f>
        <v>1.0375438596491227</v>
      </c>
      <c r="AQ87" s="57">
        <f>[20]January_2019!Z8</f>
        <v>0.90456140350877201</v>
      </c>
      <c r="AR87" s="57">
        <f>[20]January_2019!AA8</f>
        <v>1.0217543859649123</v>
      </c>
      <c r="AS87" s="57">
        <f>[20]January_2019!AB8</f>
        <v>0.65614035087719302</v>
      </c>
      <c r="AT87" s="57" t="e">
        <f>[20]January_2019!AC8</f>
        <v>#DIV/0!</v>
      </c>
      <c r="AU87" s="57" t="e">
        <f>[20]January_2019!AD8</f>
        <v>#DIV/0!</v>
      </c>
      <c r="AV87" s="57">
        <f>[20]January_2019!AE8</f>
        <v>1.7021052631578948</v>
      </c>
      <c r="AW87" s="57">
        <f>[20]January_2019!AF8</f>
        <v>0.60192982456140354</v>
      </c>
      <c r="AX87" s="57">
        <f>[20]January_2019!AG8</f>
        <v>1.4870175438596491</v>
      </c>
      <c r="AY87" s="277" t="e">
        <f>[20]January_2019!AH8</f>
        <v>#DIV/0!</v>
      </c>
      <c r="AZ87" s="277"/>
      <c r="BA87" s="277"/>
      <c r="BB87" s="277"/>
      <c r="BC87" s="277"/>
      <c r="BD87" s="277"/>
      <c r="BE87" s="277"/>
      <c r="BF87" s="277"/>
    </row>
    <row r="88" spans="2:58" s="54" customFormat="1" ht="42" hidden="1" customHeight="1" thickBot="1">
      <c r="B88" s="435"/>
      <c r="C88" s="283"/>
      <c r="D88" s="279"/>
      <c r="E88" s="279"/>
      <c r="F88" s="279"/>
      <c r="G88" s="279"/>
      <c r="H88" s="431"/>
      <c r="I88" s="431"/>
      <c r="J88" s="432"/>
      <c r="K88" s="436"/>
      <c r="L88" s="314"/>
      <c r="M88" s="357"/>
      <c r="N88" s="13"/>
      <c r="O88" s="13"/>
      <c r="P88" s="50"/>
      <c r="T88" s="272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277"/>
      <c r="AZ88" s="277"/>
      <c r="BA88" s="277"/>
      <c r="BB88" s="277"/>
      <c r="BC88" s="277"/>
      <c r="BD88" s="277"/>
      <c r="BE88" s="277"/>
      <c r="BF88" s="277"/>
    </row>
    <row r="89" spans="2:58" s="54" customFormat="1" ht="14.4" hidden="1" thickBot="1">
      <c r="B89" s="361"/>
      <c r="C89" s="283"/>
      <c r="D89" s="304"/>
      <c r="E89" s="279"/>
      <c r="F89" s="279"/>
      <c r="G89" s="279"/>
      <c r="H89" s="381"/>
      <c r="I89" s="382"/>
      <c r="J89" s="389"/>
      <c r="K89" s="376"/>
      <c r="L89" s="314"/>
      <c r="M89" s="354"/>
      <c r="N89" s="13"/>
      <c r="O89" s="13"/>
      <c r="P89" s="50"/>
      <c r="T89" s="272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277"/>
      <c r="AZ89" s="277"/>
      <c r="BA89" s="277"/>
      <c r="BB89" s="277"/>
      <c r="BC89" s="277"/>
      <c r="BD89" s="277"/>
      <c r="BE89" s="277"/>
      <c r="BF89" s="277"/>
    </row>
    <row r="90" spans="2:58" s="54" customFormat="1" ht="45.75" hidden="1" customHeight="1" thickBot="1">
      <c r="B90" s="427"/>
      <c r="C90" s="283"/>
      <c r="D90" s="279"/>
      <c r="E90" s="279"/>
      <c r="F90" s="279"/>
      <c r="G90" s="279"/>
      <c r="H90" s="320"/>
      <c r="I90" s="322"/>
      <c r="J90" s="390" t="s">
        <v>160</v>
      </c>
      <c r="K90" s="286"/>
      <c r="L90" s="314"/>
      <c r="M90" s="384"/>
      <c r="N90" s="13"/>
      <c r="O90" s="13"/>
      <c r="P90" s="50"/>
      <c r="T90" s="272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277"/>
      <c r="AZ90" s="277"/>
      <c r="BA90" s="277"/>
      <c r="BB90" s="277"/>
      <c r="BC90" s="277"/>
      <c r="BD90" s="277"/>
      <c r="BE90" s="277"/>
      <c r="BF90" s="277"/>
    </row>
    <row r="91" spans="2:58" s="54" customFormat="1" ht="45.75" hidden="1" customHeight="1">
      <c r="B91" s="387"/>
      <c r="C91" s="283"/>
      <c r="D91" s="279"/>
      <c r="E91" s="279"/>
      <c r="F91" s="279"/>
      <c r="G91" s="279"/>
      <c r="H91" s="320"/>
      <c r="I91" s="322"/>
      <c r="J91" s="281"/>
      <c r="K91" s="286"/>
      <c r="L91" s="314"/>
      <c r="M91" s="339"/>
      <c r="N91" s="13"/>
      <c r="O91" s="13"/>
      <c r="P91" s="50"/>
      <c r="T91" s="272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277"/>
      <c r="AZ91" s="277"/>
      <c r="BA91" s="277"/>
      <c r="BB91" s="277"/>
      <c r="BC91" s="277"/>
      <c r="BD91" s="277"/>
      <c r="BE91" s="277"/>
      <c r="BF91" s="277"/>
    </row>
    <row r="92" spans="2:58" ht="11.4" hidden="1" customHeight="1" thickBot="1">
      <c r="B92" s="33"/>
      <c r="C92" s="310"/>
      <c r="D92" s="279"/>
      <c r="E92" s="279"/>
      <c r="F92" s="279"/>
      <c r="G92" s="279"/>
      <c r="H92" s="352"/>
      <c r="I92" s="353"/>
      <c r="J92" s="281"/>
      <c r="K92" s="52"/>
      <c r="L92" s="53"/>
      <c r="M92" s="55"/>
      <c r="N92" s="77"/>
      <c r="O92" s="13"/>
      <c r="P92" s="56"/>
    </row>
    <row r="93" spans="2:58" ht="14.4" thickBot="1">
      <c r="B93" s="58"/>
      <c r="C93" s="309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9"/>
      <c r="O93" s="56"/>
      <c r="P93" s="60"/>
    </row>
    <row r="94" spans="2:58" ht="14.4" thickBot="1">
      <c r="B94" s="517" t="s">
        <v>55</v>
      </c>
      <c r="C94" s="518"/>
      <c r="D94" s="518"/>
      <c r="E94" s="518"/>
      <c r="F94" s="519"/>
      <c r="G94" s="517" t="s">
        <v>56</v>
      </c>
      <c r="H94" s="518"/>
      <c r="I94" s="518"/>
      <c r="J94" s="519"/>
      <c r="K94" s="517" t="s">
        <v>51</v>
      </c>
      <c r="L94" s="518"/>
      <c r="M94" s="518"/>
      <c r="N94" s="520"/>
      <c r="O94" s="56"/>
      <c r="P94" s="50"/>
    </row>
    <row r="95" spans="2:58">
      <c r="B95" s="61" t="s">
        <v>17</v>
      </c>
      <c r="C95" s="62" t="s">
        <v>36</v>
      </c>
      <c r="D95" s="62" t="s">
        <v>37</v>
      </c>
      <c r="E95" s="62" t="s">
        <v>38</v>
      </c>
      <c r="F95" s="63" t="s">
        <v>39</v>
      </c>
      <c r="G95" s="62" t="s">
        <v>36</v>
      </c>
      <c r="H95" s="62" t="s">
        <v>37</v>
      </c>
      <c r="I95" s="62" t="s">
        <v>38</v>
      </c>
      <c r="J95" s="63" t="s">
        <v>39</v>
      </c>
      <c r="K95" s="62" t="s">
        <v>36</v>
      </c>
      <c r="L95" s="62" t="s">
        <v>37</v>
      </c>
      <c r="M95" s="62" t="s">
        <v>38</v>
      </c>
      <c r="N95" s="63" t="s">
        <v>39</v>
      </c>
      <c r="O95" s="56"/>
      <c r="P95" s="64"/>
    </row>
    <row r="96" spans="2:58">
      <c r="B96" s="29" t="s">
        <v>6</v>
      </c>
      <c r="C96" s="65">
        <f>L86</f>
        <v>7.679054885552544</v>
      </c>
      <c r="D96" s="76">
        <v>7.679054885552544</v>
      </c>
      <c r="E96" s="76">
        <v>7.0356103080463335</v>
      </c>
      <c r="F96" s="66">
        <v>4.8</v>
      </c>
      <c r="G96" s="65">
        <f>[31]March_2025!$G$11</f>
        <v>7.381724949596177</v>
      </c>
      <c r="H96" s="76">
        <v>7.381724949596177</v>
      </c>
      <c r="I96" s="76">
        <v>7.4474791966380929</v>
      </c>
      <c r="J96" s="66">
        <v>4.8</v>
      </c>
      <c r="K96" s="67">
        <f>K86</f>
        <v>0.93775000000000008</v>
      </c>
      <c r="L96" s="194">
        <v>0.93775000000000008</v>
      </c>
      <c r="M96" s="194">
        <v>0.84308880137426323</v>
      </c>
      <c r="N96" s="68">
        <v>1</v>
      </c>
      <c r="O96" s="56"/>
      <c r="P96" s="69"/>
    </row>
    <row r="97" spans="2:16">
      <c r="B97" s="33" t="s">
        <v>9</v>
      </c>
      <c r="C97" s="65"/>
      <c r="D97" s="76"/>
      <c r="E97" s="76">
        <v>6.7094493445838745</v>
      </c>
      <c r="F97" s="66">
        <v>4.8</v>
      </c>
      <c r="G97" s="65"/>
      <c r="H97" s="76"/>
      <c r="I97" s="76">
        <v>6.9224235081969541</v>
      </c>
      <c r="J97" s="66">
        <v>4.8</v>
      </c>
      <c r="K97" s="67"/>
      <c r="L97" s="194"/>
      <c r="M97" s="194">
        <v>0.70847053742306432</v>
      </c>
      <c r="N97" s="68">
        <v>1</v>
      </c>
      <c r="P97" s="69"/>
    </row>
    <row r="98" spans="2:16">
      <c r="B98" s="34" t="s">
        <v>40</v>
      </c>
      <c r="C98" s="65"/>
      <c r="D98" s="76"/>
      <c r="E98" s="76">
        <v>13.702325581395328</v>
      </c>
      <c r="F98" s="66">
        <v>5.5</v>
      </c>
      <c r="G98" s="65"/>
      <c r="H98" s="76"/>
      <c r="I98" s="76">
        <v>15.508495449554314</v>
      </c>
      <c r="J98" s="66">
        <v>5.5</v>
      </c>
      <c r="K98" s="67"/>
      <c r="L98" s="194"/>
      <c r="M98" s="194">
        <v>0.51718974358974368</v>
      </c>
      <c r="N98" s="68">
        <v>1</v>
      </c>
      <c r="P98" s="69"/>
    </row>
    <row r="99" spans="2:16">
      <c r="B99" s="22" t="s">
        <v>33</v>
      </c>
      <c r="C99" s="65"/>
      <c r="D99" s="76"/>
      <c r="E99" s="76">
        <v>3.9190537266638161</v>
      </c>
      <c r="F99" s="66">
        <v>3.3</v>
      </c>
      <c r="G99" s="65"/>
      <c r="H99" s="76"/>
      <c r="I99" s="76">
        <v>5.345661717473071</v>
      </c>
      <c r="J99" s="66">
        <v>3.3</v>
      </c>
      <c r="K99" s="67"/>
      <c r="L99" s="194"/>
      <c r="M99" s="194">
        <v>0.78853801169590654</v>
      </c>
      <c r="N99" s="68">
        <v>1</v>
      </c>
      <c r="P99" s="69"/>
    </row>
    <row r="100" spans="2:16">
      <c r="B100" s="35" t="s">
        <v>29</v>
      </c>
      <c r="C100" s="65"/>
      <c r="D100" s="76"/>
      <c r="E100" s="76"/>
      <c r="F100" s="66">
        <v>3.3</v>
      </c>
      <c r="G100" s="282"/>
      <c r="H100" s="76"/>
      <c r="I100" s="76"/>
      <c r="J100" s="66">
        <v>3</v>
      </c>
      <c r="K100" s="67"/>
      <c r="L100" s="194"/>
      <c r="M100" s="194"/>
      <c r="N100" s="68">
        <v>1</v>
      </c>
      <c r="P100" s="69"/>
    </row>
    <row r="101" spans="2:16">
      <c r="B101" s="36" t="s">
        <v>15</v>
      </c>
      <c r="C101" s="282"/>
      <c r="D101" s="76"/>
      <c r="E101" s="76">
        <v>8.7664670658682695</v>
      </c>
      <c r="F101" s="70">
        <f>[21]May_2022!$M$43</f>
        <v>3.4878406700073312</v>
      </c>
      <c r="G101" s="282"/>
      <c r="H101" s="76"/>
      <c r="I101" s="76">
        <v>10.607235567685406</v>
      </c>
      <c r="J101" s="70">
        <v>5.5</v>
      </c>
      <c r="K101" s="67"/>
      <c r="L101" s="194"/>
      <c r="M101" s="194">
        <v>0.66824561403508764</v>
      </c>
      <c r="N101" s="68">
        <v>1</v>
      </c>
      <c r="P101" s="69"/>
    </row>
    <row r="102" spans="2:16">
      <c r="B102" s="37" t="s">
        <v>16</v>
      </c>
      <c r="C102" s="65"/>
      <c r="D102" s="76"/>
      <c r="E102" s="76">
        <v>2.2765363128491556</v>
      </c>
      <c r="F102" s="70">
        <v>3.3</v>
      </c>
      <c r="G102" s="282"/>
      <c r="H102" s="76"/>
      <c r="I102" s="76">
        <v>4.5833713915368151</v>
      </c>
      <c r="J102" s="70">
        <v>3.3</v>
      </c>
      <c r="K102" s="67"/>
      <c r="L102" s="194"/>
      <c r="M102" s="194">
        <v>0.8042528735632184</v>
      </c>
      <c r="N102" s="71">
        <v>1</v>
      </c>
      <c r="P102" s="69"/>
    </row>
    <row r="103" spans="2:16" ht="14.4" thickBot="1">
      <c r="B103" s="38" t="s">
        <v>127</v>
      </c>
      <c r="C103" s="65"/>
      <c r="D103" s="76"/>
      <c r="E103" s="76"/>
      <c r="F103" s="70">
        <v>7.5</v>
      </c>
      <c r="G103" s="282"/>
      <c r="H103" s="76"/>
      <c r="I103" s="76"/>
      <c r="J103" s="70">
        <v>7.5</v>
      </c>
      <c r="K103" s="67"/>
      <c r="L103" s="194"/>
      <c r="M103" s="194"/>
      <c r="N103" s="71">
        <v>1</v>
      </c>
      <c r="P103" s="69"/>
    </row>
    <row r="104" spans="2:16" ht="14.4" thickBot="1">
      <c r="B104" s="437" t="s">
        <v>165</v>
      </c>
      <c r="C104" s="65"/>
      <c r="D104" s="76"/>
      <c r="E104" s="76">
        <v>7.2436873696200363</v>
      </c>
      <c r="F104" s="70">
        <v>4.8</v>
      </c>
      <c r="G104" s="282"/>
      <c r="H104" s="76"/>
      <c r="I104" s="76">
        <v>6.2003723782925313</v>
      </c>
      <c r="J104" s="70">
        <v>4.8</v>
      </c>
      <c r="K104" s="67"/>
      <c r="L104" s="194"/>
      <c r="M104" s="194">
        <v>0.33859649122807017</v>
      </c>
      <c r="N104" s="71"/>
      <c r="O104" s="74"/>
      <c r="P104" s="75"/>
    </row>
    <row r="105" spans="2:16">
      <c r="D105" s="76">
        <v>7.679054885552544</v>
      </c>
      <c r="E105" s="76">
        <v>7.1192710512040485</v>
      </c>
      <c r="F105" s="341">
        <v>4.5</v>
      </c>
      <c r="H105" s="76">
        <v>7.381724949596177</v>
      </c>
      <c r="I105" s="76">
        <v>7.9088412385020552</v>
      </c>
      <c r="J105" s="341">
        <v>4.5</v>
      </c>
      <c r="L105" s="194">
        <v>0.93775000000000008</v>
      </c>
      <c r="M105" s="194">
        <v>0.75620370370370382</v>
      </c>
      <c r="N105" s="386">
        <v>1</v>
      </c>
    </row>
    <row r="109" spans="2:16">
      <c r="F109" s="315"/>
    </row>
    <row r="117" spans="30:30">
      <c r="AD117" s="275" t="s">
        <v>57</v>
      </c>
    </row>
  </sheetData>
  <mergeCells count="52">
    <mergeCell ref="T1:U1"/>
    <mergeCell ref="V1:W1"/>
    <mergeCell ref="X1:Y1"/>
    <mergeCell ref="Z1:AA1"/>
    <mergeCell ref="B2:O2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M4:N4"/>
    <mergeCell ref="I55:N55"/>
    <mergeCell ref="D56:E56"/>
    <mergeCell ref="B57:B68"/>
    <mergeCell ref="D57:E58"/>
    <mergeCell ref="D59:E60"/>
    <mergeCell ref="D61:E62"/>
    <mergeCell ref="D63:E64"/>
    <mergeCell ref="D65:E66"/>
    <mergeCell ref="D67:E68"/>
    <mergeCell ref="B69:B78"/>
    <mergeCell ref="D69:E70"/>
    <mergeCell ref="J69:K69"/>
    <mergeCell ref="L70:N70"/>
    <mergeCell ref="D71:E72"/>
    <mergeCell ref="D73:E74"/>
    <mergeCell ref="D75:E76"/>
    <mergeCell ref="D77:E78"/>
    <mergeCell ref="D79:E79"/>
    <mergeCell ref="B84:B85"/>
    <mergeCell ref="C84:C85"/>
    <mergeCell ref="D84:D85"/>
    <mergeCell ref="E84:E85"/>
    <mergeCell ref="M84:M85"/>
    <mergeCell ref="B94:F94"/>
    <mergeCell ref="G94:J94"/>
    <mergeCell ref="K94:N94"/>
    <mergeCell ref="G84:G85"/>
    <mergeCell ref="H84:H85"/>
    <mergeCell ref="I84:I85"/>
    <mergeCell ref="J84:J85"/>
    <mergeCell ref="K84:K85"/>
    <mergeCell ref="L84:L85"/>
    <mergeCell ref="F84:F85"/>
  </mergeCells>
  <conditionalFormatting sqref="B79:B80">
    <cfRule type="cellIs" dxfId="3005" priority="178" operator="notBetween">
      <formula>#REF!</formula>
      <formula>#REF!</formula>
    </cfRule>
  </conditionalFormatting>
  <conditionalFormatting sqref="C83">
    <cfRule type="cellIs" dxfId="3004" priority="209" stopIfTrue="1" operator="lessThan">
      <formula>96</formula>
    </cfRule>
    <cfRule type="cellIs" dxfId="3003" priority="210" stopIfTrue="1" operator="greaterThan">
      <formula>100</formula>
    </cfRule>
  </conditionalFormatting>
  <conditionalFormatting sqref="C96">
    <cfRule type="cellIs" dxfId="3002" priority="103" stopIfTrue="1" operator="greaterThan">
      <formula>$F96</formula>
    </cfRule>
  </conditionalFormatting>
  <conditionalFormatting sqref="C96:C97">
    <cfRule type="cellIs" dxfId="3001" priority="104" stopIfTrue="1" operator="lessThanOrEqual">
      <formula>0</formula>
    </cfRule>
  </conditionalFormatting>
  <conditionalFormatting sqref="C97">
    <cfRule type="cellIs" dxfId="3000" priority="213" stopIfTrue="1" operator="greaterThan">
      <formula>$F96</formula>
    </cfRule>
  </conditionalFormatting>
  <conditionalFormatting sqref="C98:C100">
    <cfRule type="cellIs" dxfId="2999" priority="132" stopIfTrue="1" operator="greaterThan">
      <formula>$F98</formula>
    </cfRule>
  </conditionalFormatting>
  <conditionalFormatting sqref="C98:C101">
    <cfRule type="cellIs" dxfId="2998" priority="155" stopIfTrue="1" operator="lessThanOrEqual">
      <formula>0</formula>
    </cfRule>
  </conditionalFormatting>
  <conditionalFormatting sqref="C101">
    <cfRule type="cellIs" dxfId="2997" priority="154" stopIfTrue="1" operator="greaterThan">
      <formula>$J101</formula>
    </cfRule>
  </conditionalFormatting>
  <conditionalFormatting sqref="C107:C111">
    <cfRule type="cellIs" dxfId="2996" priority="201" stopIfTrue="1" operator="lessThanOrEqual">
      <formula>0</formula>
    </cfRule>
  </conditionalFormatting>
  <conditionalFormatting sqref="C108:C111">
    <cfRule type="cellIs" dxfId="2995" priority="200" stopIfTrue="1" operator="greaterThan">
      <formula>$F$107</formula>
    </cfRule>
  </conditionalFormatting>
  <conditionalFormatting sqref="C113">
    <cfRule type="cellIs" dxfId="2994" priority="203" stopIfTrue="1" operator="lessThanOrEqual">
      <formula>0</formula>
    </cfRule>
    <cfRule type="cellIs" dxfId="2993" priority="202" stopIfTrue="1" operator="greaterThan">
      <formula>$F$107</formula>
    </cfRule>
  </conditionalFormatting>
  <conditionalFormatting sqref="C107:D107 D109:D115">
    <cfRule type="cellIs" dxfId="2992" priority="195" stopIfTrue="1" operator="greaterThan">
      <formula>4.5</formula>
    </cfRule>
  </conditionalFormatting>
  <conditionalFormatting sqref="D79:D80">
    <cfRule type="cellIs" dxfId="2991" priority="179" operator="notBetween">
      <formula>#REF!</formula>
      <formula>#REF!</formula>
    </cfRule>
  </conditionalFormatting>
  <conditionalFormatting sqref="D96:D103">
    <cfRule type="cellIs" dxfId="2990" priority="167" stopIfTrue="1" operator="lessThanOrEqual">
      <formula>0</formula>
    </cfRule>
  </conditionalFormatting>
  <conditionalFormatting sqref="D104">
    <cfRule type="cellIs" dxfId="2989" priority="166" stopIfTrue="1" operator="lessThanOrEqual">
      <formula>0</formula>
    </cfRule>
  </conditionalFormatting>
  <conditionalFormatting sqref="D107 D109:D115">
    <cfRule type="cellIs" dxfId="2988" priority="196" stopIfTrue="1" operator="lessThanOrEqual">
      <formula>0</formula>
    </cfRule>
  </conditionalFormatting>
  <conditionalFormatting sqref="D108">
    <cfRule type="cellIs" dxfId="2987" priority="188" stopIfTrue="1" operator="lessThanOrEqual">
      <formula>0</formula>
    </cfRule>
    <cfRule type="cellIs" dxfId="2986" priority="187" stopIfTrue="1" operator="greaterThan">
      <formula>$F$107</formula>
    </cfRule>
  </conditionalFormatting>
  <conditionalFormatting sqref="D96:E105">
    <cfRule type="cellIs" dxfId="2985" priority="6" stopIfTrue="1" operator="greaterThan">
      <formula>$F96</formula>
    </cfRule>
  </conditionalFormatting>
  <conditionalFormatting sqref="D105:E105">
    <cfRule type="cellIs" dxfId="2984" priority="7" stopIfTrue="1" operator="lessThanOrEqual">
      <formula>0</formula>
    </cfRule>
  </conditionalFormatting>
  <conditionalFormatting sqref="E10:E54">
    <cfRule type="cellIs" dxfId="2983" priority="29" operator="lessThan">
      <formula>48</formula>
    </cfRule>
  </conditionalFormatting>
  <conditionalFormatting sqref="E83">
    <cfRule type="cellIs" dxfId="2982" priority="190" stopIfTrue="1" operator="greaterThan">
      <formula>100</formula>
    </cfRule>
    <cfRule type="cellIs" dxfId="2981" priority="189" stopIfTrue="1" operator="lessThan">
      <formula>96.8</formula>
    </cfRule>
  </conditionalFormatting>
  <conditionalFormatting sqref="E96:E104">
    <cfRule type="cellIs" dxfId="2980" priority="160" stopIfTrue="1" operator="lessThanOrEqual">
      <formula>0</formula>
    </cfRule>
  </conditionalFormatting>
  <conditionalFormatting sqref="E107:E115">
    <cfRule type="cellIs" dxfId="2979" priority="182" stopIfTrue="1" operator="lessThanOrEqual">
      <formula>0</formula>
    </cfRule>
    <cfRule type="cellIs" dxfId="2978" priority="181" stopIfTrue="1" operator="greaterThan">
      <formula>4.5</formula>
    </cfRule>
  </conditionalFormatting>
  <conditionalFormatting sqref="E82:F83">
    <cfRule type="cellIs" dxfId="2977" priority="191" stopIfTrue="1" operator="lessThan">
      <formula>96.5</formula>
    </cfRule>
    <cfRule type="cellIs" dxfId="2976" priority="192" stopIfTrue="1" operator="greaterThan">
      <formula>100</formula>
    </cfRule>
  </conditionalFormatting>
  <conditionalFormatting sqref="F10:F39">
    <cfRule type="cellIs" dxfId="2975" priority="31" operator="greaterThan">
      <formula>60</formula>
    </cfRule>
  </conditionalFormatting>
  <conditionalFormatting sqref="F40">
    <cfRule type="cellIs" dxfId="2974" priority="220" operator="greaterThan">
      <formula>$AA91</formula>
    </cfRule>
    <cfRule type="cellIs" dxfId="2973" priority="219" operator="greaterThan">
      <formula>$AA40</formula>
    </cfRule>
  </conditionalFormatting>
  <conditionalFormatting sqref="F41:F53">
    <cfRule type="cellIs" dxfId="2972" priority="88" operator="greaterThan">
      <formula>60</formula>
    </cfRule>
  </conditionalFormatting>
  <conditionalFormatting sqref="F54">
    <cfRule type="cellIs" dxfId="2971" priority="102" operator="greaterThan">
      <formula>$AA54</formula>
    </cfRule>
    <cfRule type="cellIs" dxfId="2970" priority="214" operator="greaterThan">
      <formula>$AA93</formula>
    </cfRule>
  </conditionalFormatting>
  <conditionalFormatting sqref="F83">
    <cfRule type="cellIs" dxfId="2969" priority="207" stopIfTrue="1" operator="lessThan">
      <formula>96.8</formula>
    </cfRule>
    <cfRule type="cellIs" dxfId="2968" priority="208" stopIfTrue="1" operator="greaterThan">
      <formula>100</formula>
    </cfRule>
  </conditionalFormatting>
  <conditionalFormatting sqref="F105">
    <cfRule type="cellIs" dxfId="2967" priority="162" stopIfTrue="1" operator="lessThanOrEqual">
      <formula>0</formula>
    </cfRule>
    <cfRule type="cellIs" dxfId="2966" priority="161" stopIfTrue="1" operator="greaterThan">
      <formula>$F105</formula>
    </cfRule>
  </conditionalFormatting>
  <conditionalFormatting sqref="G96:G97 C102:C104">
    <cfRule type="cellIs" dxfId="2965" priority="169" stopIfTrue="1" operator="lessThanOrEqual">
      <formula>0</formula>
    </cfRule>
    <cfRule type="cellIs" dxfId="2964" priority="168" stopIfTrue="1" operator="greaterThan">
      <formula>$F96</formula>
    </cfRule>
  </conditionalFormatting>
  <conditionalFormatting sqref="G96:G97">
    <cfRule type="cellIs" dxfId="2963" priority="110" stopIfTrue="1" operator="greaterThan">
      <formula>$F96</formula>
    </cfRule>
    <cfRule type="cellIs" dxfId="2962" priority="111" stopIfTrue="1" operator="lessThanOrEqual">
      <formula>0</formula>
    </cfRule>
  </conditionalFormatting>
  <conditionalFormatting sqref="G98">
    <cfRule type="cellIs" dxfId="2961" priority="212" stopIfTrue="1" operator="lessThanOrEqual">
      <formula>0</formula>
    </cfRule>
    <cfRule type="cellIs" dxfId="2960" priority="211" stopIfTrue="1" operator="greaterThan">
      <formula>$F97</formula>
    </cfRule>
  </conditionalFormatting>
  <conditionalFormatting sqref="G99">
    <cfRule type="cellIs" dxfId="2959" priority="163" stopIfTrue="1" operator="greaterThan">
      <formula>$F99</formula>
    </cfRule>
    <cfRule type="cellIs" dxfId="2958" priority="164" stopIfTrue="1" operator="lessThanOrEqual">
      <formula>0</formula>
    </cfRule>
  </conditionalFormatting>
  <conditionalFormatting sqref="G100:G104">
    <cfRule type="cellIs" dxfId="2957" priority="172" stopIfTrue="1" operator="lessThanOrEqual">
      <formula>0</formula>
    </cfRule>
    <cfRule type="cellIs" dxfId="2956" priority="171" stopIfTrue="1" operator="greaterThan">
      <formula>$J100</formula>
    </cfRule>
  </conditionalFormatting>
  <conditionalFormatting sqref="G109:G114 C112 C114">
    <cfRule type="cellIs" dxfId="2955" priority="204" stopIfTrue="1" operator="greaterThan">
      <formula>4.5</formula>
    </cfRule>
    <cfRule type="cellIs" dxfId="2954" priority="205" stopIfTrue="1" operator="lessThanOrEqual">
      <formula>0</formula>
    </cfRule>
  </conditionalFormatting>
  <conditionalFormatting sqref="G10:H54">
    <cfRule type="expression" dxfId="2953" priority="22">
      <formula>IF(+(IF(G10&lt;#REF!,0,IF(G10&gt;#REF!,0,1)))=0,1)</formula>
    </cfRule>
  </conditionalFormatting>
  <conditionalFormatting sqref="G108:H108">
    <cfRule type="cellIs" dxfId="2952" priority="185" stopIfTrue="1" operator="greaterThan">
      <formula>$F$107</formula>
    </cfRule>
    <cfRule type="cellIs" dxfId="2951" priority="186" stopIfTrue="1" operator="lessThanOrEqual">
      <formula>0</formula>
    </cfRule>
  </conditionalFormatting>
  <conditionalFormatting sqref="H58:H81 G69:G80">
    <cfRule type="cellIs" dxfId="2950" priority="183" stopIfTrue="1" operator="greaterThan">
      <formula>0</formula>
    </cfRule>
  </conditionalFormatting>
  <conditionalFormatting sqref="H86">
    <cfRule type="cellIs" dxfId="2949" priority="21" stopIfTrue="1" operator="lessThanOrEqual">
      <formula>0</formula>
    </cfRule>
    <cfRule type="cellIs" dxfId="2948" priority="10" stopIfTrue="1" operator="greaterThan">
      <formula>$F$65</formula>
    </cfRule>
    <cfRule type="cellIs" dxfId="2947" priority="9" stopIfTrue="1" operator="lessThanOrEqual">
      <formula>0</formula>
    </cfRule>
    <cfRule type="cellIs" dxfId="2946" priority="20" stopIfTrue="1" operator="greaterThan">
      <formula>$F$66</formula>
    </cfRule>
    <cfRule type="cellIs" dxfId="2945" priority="19" stopIfTrue="1" operator="lessThanOrEqual">
      <formula>0</formula>
    </cfRule>
    <cfRule type="cellIs" dxfId="2944" priority="18" stopIfTrue="1" operator="greaterThan">
      <formula>$F$68</formula>
    </cfRule>
  </conditionalFormatting>
  <conditionalFormatting sqref="H87">
    <cfRule type="cellIs" dxfId="2943" priority="130" stopIfTrue="1" operator="greaterThan">
      <formula>$F$96</formula>
    </cfRule>
    <cfRule type="cellIs" dxfId="2942" priority="129" stopIfTrue="1" operator="lessThanOrEqual">
      <formula>0</formula>
    </cfRule>
    <cfRule type="cellIs" dxfId="2941" priority="131" stopIfTrue="1" operator="lessThanOrEqual">
      <formula>0</formula>
    </cfRule>
    <cfRule type="cellIs" dxfId="2940" priority="120" stopIfTrue="1" operator="greaterThan">
      <formula>$F$95</formula>
    </cfRule>
    <cfRule type="cellIs" dxfId="2939" priority="128" stopIfTrue="1" operator="greaterThan">
      <formula>$F$98</formula>
    </cfRule>
    <cfRule type="cellIs" dxfId="2938" priority="119" stopIfTrue="1" operator="lessThanOrEqual">
      <formula>0</formula>
    </cfRule>
  </conditionalFormatting>
  <conditionalFormatting sqref="H88">
    <cfRule type="cellIs" dxfId="2937" priority="75" stopIfTrue="1" operator="lessThanOrEqual">
      <formula>0</formula>
    </cfRule>
    <cfRule type="cellIs" dxfId="2936" priority="84" stopIfTrue="1" operator="greaterThan">
      <formula>$F$74</formula>
    </cfRule>
    <cfRule type="cellIs" dxfId="2935" priority="85" stopIfTrue="1" operator="lessThanOrEqual">
      <formula>0</formula>
    </cfRule>
    <cfRule type="cellIs" dxfId="2934" priority="86" stopIfTrue="1" operator="greaterThan">
      <formula>$F$72</formula>
    </cfRule>
    <cfRule type="cellIs" dxfId="2933" priority="87" stopIfTrue="1" operator="lessThanOrEqual">
      <formula>0</formula>
    </cfRule>
    <cfRule type="cellIs" dxfId="2932" priority="76" stopIfTrue="1" operator="greaterThan">
      <formula>$F$71</formula>
    </cfRule>
  </conditionalFormatting>
  <conditionalFormatting sqref="H89">
    <cfRule type="cellIs" dxfId="2931" priority="92" stopIfTrue="1" operator="greaterThan">
      <formula>#REF!</formula>
    </cfRule>
    <cfRule type="cellIs" dxfId="2930" priority="101" stopIfTrue="1" operator="lessThanOrEqual">
      <formula>0</formula>
    </cfRule>
    <cfRule type="cellIs" dxfId="2929" priority="91" stopIfTrue="1" operator="lessThanOrEqual">
      <formula>0</formula>
    </cfRule>
    <cfRule type="cellIs" dxfId="2928" priority="100" stopIfTrue="1" operator="greaterThan">
      <formula>#REF!</formula>
    </cfRule>
  </conditionalFormatting>
  <conditionalFormatting sqref="H90:H91">
    <cfRule type="cellIs" dxfId="2927" priority="150" stopIfTrue="1" operator="greaterThan">
      <formula>$F$97</formula>
    </cfRule>
    <cfRule type="cellIs" dxfId="2926" priority="149" stopIfTrue="1" operator="lessThanOrEqual">
      <formula>0</formula>
    </cfRule>
    <cfRule type="cellIs" dxfId="2925" priority="140" stopIfTrue="1" operator="greaterThan">
      <formula>$F$96</formula>
    </cfRule>
    <cfRule type="cellIs" dxfId="2924" priority="114" stopIfTrue="1" operator="lessThanOrEqual">
      <formula>0</formula>
    </cfRule>
    <cfRule type="cellIs" dxfId="2923" priority="148" stopIfTrue="1" operator="greaterThan">
      <formula>$F$99</formula>
    </cfRule>
    <cfRule type="cellIs" dxfId="2922" priority="151" stopIfTrue="1" operator="lessThanOrEqual">
      <formula>0</formula>
    </cfRule>
  </conditionalFormatting>
  <conditionalFormatting sqref="H92">
    <cfRule type="cellIs" dxfId="2921" priority="174" stopIfTrue="1" operator="greaterThan">
      <formula>$F$93</formula>
    </cfRule>
    <cfRule type="cellIs" dxfId="2920" priority="175" stopIfTrue="1" operator="lessThanOrEqual">
      <formula>0</formula>
    </cfRule>
    <cfRule type="cellIs" dxfId="2919" priority="177" stopIfTrue="1" operator="lessThanOrEqual">
      <formula>0</formula>
    </cfRule>
    <cfRule type="cellIs" dxfId="2918" priority="176" stopIfTrue="1" operator="greaterThan">
      <formula>$F$89</formula>
    </cfRule>
  </conditionalFormatting>
  <conditionalFormatting sqref="H96:H103">
    <cfRule type="cellIs" dxfId="2917" priority="152" stopIfTrue="1" operator="greaterThan">
      <formula>$J96</formula>
    </cfRule>
    <cfRule type="cellIs" dxfId="2916" priority="153" stopIfTrue="1" operator="lessThanOrEqual">
      <formula>0</formula>
    </cfRule>
  </conditionalFormatting>
  <conditionalFormatting sqref="H104">
    <cfRule type="cellIs" dxfId="2915" priority="156" operator="greaterThan">
      <formula>5.3</formula>
    </cfRule>
  </conditionalFormatting>
  <conditionalFormatting sqref="H107 H109:H115">
    <cfRule type="cellIs" dxfId="2914" priority="198" stopIfTrue="1" operator="lessThanOrEqual">
      <formula>0</formula>
    </cfRule>
    <cfRule type="cellIs" dxfId="2913" priority="197" stopIfTrue="1" operator="greaterThan">
      <formula>4.5</formula>
    </cfRule>
  </conditionalFormatting>
  <conditionalFormatting sqref="H86:I86">
    <cfRule type="cellIs" dxfId="2912" priority="8" stopIfTrue="1" operator="greaterThan">
      <formula>$F$67</formula>
    </cfRule>
    <cfRule type="cellIs" dxfId="2911" priority="11" stopIfTrue="1" operator="lessThanOrEqual">
      <formula>0</formula>
    </cfRule>
  </conditionalFormatting>
  <conditionalFormatting sqref="H87:I87">
    <cfRule type="cellIs" dxfId="2910" priority="118" stopIfTrue="1" operator="greaterThan">
      <formula>$F$97</formula>
    </cfRule>
    <cfRule type="cellIs" dxfId="2909" priority="121" stopIfTrue="1" operator="lessThanOrEqual">
      <formula>0</formula>
    </cfRule>
  </conditionalFormatting>
  <conditionalFormatting sqref="H88:I88">
    <cfRule type="cellIs" dxfId="2908" priority="74" stopIfTrue="1" operator="greaterThan">
      <formula>$F$73</formula>
    </cfRule>
    <cfRule type="cellIs" dxfId="2907" priority="77" stopIfTrue="1" operator="lessThanOrEqual">
      <formula>0</formula>
    </cfRule>
  </conditionalFormatting>
  <conditionalFormatting sqref="H89:I89">
    <cfRule type="cellIs" dxfId="2906" priority="90" stopIfTrue="1" operator="greaterThan">
      <formula>#REF!</formula>
    </cfRule>
    <cfRule type="cellIs" dxfId="2905" priority="93" stopIfTrue="1" operator="lessThanOrEqual">
      <formula>0</formula>
    </cfRule>
    <cfRule type="cellIs" dxfId="2904" priority="96" stopIfTrue="1" operator="greaterThan">
      <formula>#REF!</formula>
    </cfRule>
    <cfRule type="cellIs" dxfId="2903" priority="99" stopIfTrue="1" operator="lessThanOrEqual">
      <formula>0</formula>
    </cfRule>
  </conditionalFormatting>
  <conditionalFormatting sqref="H90:I90">
    <cfRule type="cellIs" dxfId="2902" priority="141" stopIfTrue="1" operator="lessThanOrEqual">
      <formula>0</formula>
    </cfRule>
  </conditionalFormatting>
  <conditionalFormatting sqref="H90:I91">
    <cfRule type="cellIs" dxfId="2901" priority="112" stopIfTrue="1" operator="greaterThan">
      <formula>$F$98</formula>
    </cfRule>
  </conditionalFormatting>
  <conditionalFormatting sqref="H91:I91">
    <cfRule type="cellIs" dxfId="2900" priority="113" stopIfTrue="1" operator="lessThanOrEqual">
      <formula>0</formula>
    </cfRule>
  </conditionalFormatting>
  <conditionalFormatting sqref="H105:I105">
    <cfRule type="cellIs" dxfId="2899" priority="4" stopIfTrue="1" operator="greaterThan">
      <formula>$J105</formula>
    </cfRule>
    <cfRule type="cellIs" dxfId="2898" priority="5" stopIfTrue="1" operator="lessThanOrEqual">
      <formula>0</formula>
    </cfRule>
  </conditionalFormatting>
  <conditionalFormatting sqref="I40 I54">
    <cfRule type="cellIs" dxfId="2897" priority="108" operator="lessThan">
      <formula>98</formula>
    </cfRule>
    <cfRule type="cellIs" dxfId="2896" priority="105" operator="lessThan">
      <formula>97.8</formula>
    </cfRule>
  </conditionalFormatting>
  <conditionalFormatting sqref="I86">
    <cfRule type="cellIs" dxfId="2895" priority="14" stopIfTrue="1" operator="greaterThan">
      <formula>$F$67</formula>
    </cfRule>
    <cfRule type="cellIs" dxfId="2894" priority="15" stopIfTrue="1" operator="lessThanOrEqual">
      <formula>0</formula>
    </cfRule>
    <cfRule type="cellIs" dxfId="2893" priority="16" stopIfTrue="1" operator="greaterThan">
      <formula>$F$65</formula>
    </cfRule>
    <cfRule type="cellIs" dxfId="2892" priority="17" stopIfTrue="1" operator="lessThanOrEqual">
      <formula>0</formula>
    </cfRule>
    <cfRule type="cellIs" dxfId="2891" priority="13" stopIfTrue="1" operator="lessThanOrEqual">
      <formula>0</formula>
    </cfRule>
    <cfRule type="cellIs" dxfId="2890" priority="12" stopIfTrue="1" operator="greaterThan">
      <formula>$F$65</formula>
    </cfRule>
  </conditionalFormatting>
  <conditionalFormatting sqref="I87">
    <cfRule type="cellIs" dxfId="2889" priority="124" stopIfTrue="1" operator="greaterThan">
      <formula>$F$97</formula>
    </cfRule>
    <cfRule type="cellIs" dxfId="2888" priority="127" stopIfTrue="1" operator="lessThanOrEqual">
      <formula>0</formula>
    </cfRule>
    <cfRule type="cellIs" dxfId="2887" priority="123" stopIfTrue="1" operator="lessThanOrEqual">
      <formula>0</formula>
    </cfRule>
    <cfRule type="cellIs" dxfId="2886" priority="122" stopIfTrue="1" operator="greaterThan">
      <formula>$F$95</formula>
    </cfRule>
    <cfRule type="cellIs" dxfId="2885" priority="126" stopIfTrue="1" operator="greaterThan">
      <formula>$F$95</formula>
    </cfRule>
    <cfRule type="cellIs" dxfId="2884" priority="125" stopIfTrue="1" operator="lessThanOrEqual">
      <formula>0</formula>
    </cfRule>
  </conditionalFormatting>
  <conditionalFormatting sqref="I88">
    <cfRule type="cellIs" dxfId="2883" priority="81" stopIfTrue="1" operator="lessThanOrEqual">
      <formula>0</formula>
    </cfRule>
    <cfRule type="cellIs" dxfId="2882" priority="79" stopIfTrue="1" operator="lessThanOrEqual">
      <formula>0</formula>
    </cfRule>
    <cfRule type="cellIs" dxfId="2881" priority="78" stopIfTrue="1" operator="greaterThan">
      <formula>$F$71</formula>
    </cfRule>
    <cfRule type="cellIs" dxfId="2880" priority="80" stopIfTrue="1" operator="greaterThan">
      <formula>$F$73</formula>
    </cfRule>
    <cfRule type="cellIs" dxfId="2879" priority="82" stopIfTrue="1" operator="greaterThan">
      <formula>$F$71</formula>
    </cfRule>
    <cfRule type="cellIs" dxfId="2878" priority="83" stopIfTrue="1" operator="lessThanOrEqual">
      <formula>0</formula>
    </cfRule>
  </conditionalFormatting>
  <conditionalFormatting sqref="I89">
    <cfRule type="cellIs" dxfId="2877" priority="97" stopIfTrue="1" operator="lessThanOrEqual">
      <formula>0</formula>
    </cfRule>
    <cfRule type="cellIs" dxfId="2876" priority="98" stopIfTrue="1" operator="greaterThan">
      <formula>#REF!</formula>
    </cfRule>
    <cfRule type="cellIs" dxfId="2875" priority="94" stopIfTrue="1" operator="greaterThan">
      <formula>#REF!</formula>
    </cfRule>
    <cfRule type="cellIs" dxfId="2874" priority="95" stopIfTrue="1" operator="lessThanOrEqual">
      <formula>0</formula>
    </cfRule>
  </conditionalFormatting>
  <conditionalFormatting sqref="I90:I91">
    <cfRule type="cellIs" dxfId="2873" priority="144" stopIfTrue="1" operator="greaterThan">
      <formula>$F$98</formula>
    </cfRule>
    <cfRule type="cellIs" dxfId="2872" priority="145" stopIfTrue="1" operator="lessThanOrEqual">
      <formula>0</formula>
    </cfRule>
    <cfRule type="cellIs" dxfId="2871" priority="146" stopIfTrue="1" operator="greaterThan">
      <formula>$F$96</formula>
    </cfRule>
    <cfRule type="cellIs" dxfId="2870" priority="147" stopIfTrue="1" operator="lessThanOrEqual">
      <formula>0</formula>
    </cfRule>
    <cfRule type="cellIs" dxfId="2869" priority="142" stopIfTrue="1" operator="greaterThan">
      <formula>$F$96</formula>
    </cfRule>
    <cfRule type="cellIs" dxfId="2868" priority="143" stopIfTrue="1" operator="lessThanOrEqual">
      <formula>0</formula>
    </cfRule>
  </conditionalFormatting>
  <conditionalFormatting sqref="I96:I104">
    <cfRule type="cellIs" dxfId="2867" priority="158" stopIfTrue="1" operator="lessThanOrEqual">
      <formula>0</formula>
    </cfRule>
    <cfRule type="cellIs" dxfId="2866" priority="157" stopIfTrue="1" operator="greaterThan">
      <formula>$J96</formula>
    </cfRule>
  </conditionalFormatting>
  <conditionalFormatting sqref="I107:I115">
    <cfRule type="cellIs" dxfId="2865" priority="193" stopIfTrue="1" operator="greaterThan">
      <formula>4.5</formula>
    </cfRule>
    <cfRule type="cellIs" dxfId="2864" priority="194" stopIfTrue="1" operator="lessThanOrEqual">
      <formula>0</formula>
    </cfRule>
  </conditionalFormatting>
  <conditionalFormatting sqref="I10:J39">
    <cfRule type="cellIs" dxfId="2863" priority="32" operator="lessThan">
      <formula>97.9</formula>
    </cfRule>
  </conditionalFormatting>
  <conditionalFormatting sqref="I41:J53">
    <cfRule type="cellIs" dxfId="2862" priority="89" operator="lessThan">
      <formula>97.9</formula>
    </cfRule>
  </conditionalFormatting>
  <conditionalFormatting sqref="J40 J54">
    <cfRule type="cellIs" dxfId="2861" priority="106" operator="notBetween">
      <formula>98</formula>
      <formula>99.9</formula>
    </cfRule>
    <cfRule type="cellIs" dxfId="2860" priority="107" operator="lessThan">
      <formula>97.4</formula>
    </cfRule>
  </conditionalFormatting>
  <conditionalFormatting sqref="J57:J59">
    <cfRule type="cellIs" dxfId="2859" priority="133" stopIfTrue="1" operator="lessThan">
      <formula>96.8</formula>
    </cfRule>
    <cfRule type="cellIs" dxfId="2858" priority="134" stopIfTrue="1" operator="greaterThan">
      <formula>100</formula>
    </cfRule>
    <cfRule type="cellIs" dxfId="2857" priority="135" operator="lessThan">
      <formula>98</formula>
    </cfRule>
  </conditionalFormatting>
  <conditionalFormatting sqref="J57:J61">
    <cfRule type="cellIs" dxfId="2856" priority="109" operator="lessThan">
      <formula>97.4</formula>
    </cfRule>
  </conditionalFormatting>
  <conditionalFormatting sqref="J62">
    <cfRule type="cellIs" dxfId="2855" priority="136" operator="lessThan">
      <formula>98</formula>
    </cfRule>
  </conditionalFormatting>
  <conditionalFormatting sqref="J63:J65">
    <cfRule type="cellIs" dxfId="2854" priority="138" stopIfTrue="1" operator="greaterThan">
      <formula>100</formula>
    </cfRule>
    <cfRule type="cellIs" dxfId="2853" priority="137" stopIfTrue="1" operator="lessThan">
      <formula>96.8</formula>
    </cfRule>
  </conditionalFormatting>
  <conditionalFormatting sqref="J63:J66">
    <cfRule type="cellIs" dxfId="2852" priority="139" operator="lessThan">
      <formula>98</formula>
    </cfRule>
  </conditionalFormatting>
  <conditionalFormatting sqref="J105">
    <cfRule type="cellIs" dxfId="2851" priority="2" stopIfTrue="1" operator="lessThanOrEqual">
      <formula>0</formula>
    </cfRule>
    <cfRule type="cellIs" dxfId="2850" priority="1" stopIfTrue="1" operator="greaterThan">
      <formula>$F105</formula>
    </cfRule>
  </conditionalFormatting>
  <conditionalFormatting sqref="K10:K54">
    <cfRule type="cellIs" dxfId="2849" priority="25" operator="greaterThan">
      <formula>6</formula>
    </cfRule>
    <cfRule type="cellIs" dxfId="2848" priority="26" operator="lessThan">
      <formula>4</formula>
    </cfRule>
    <cfRule type="cellIs" dxfId="2847" priority="30" operator="greaterThan">
      <formula>6.4</formula>
    </cfRule>
  </conditionalFormatting>
  <conditionalFormatting sqref="K71:K80">
    <cfRule type="cellIs" dxfId="2846" priority="165" operator="notEqual">
      <formula>#REF!</formula>
    </cfRule>
  </conditionalFormatting>
  <conditionalFormatting sqref="K86:K92 K96:N104 N104:N105">
    <cfRule type="cellIs" dxfId="2845" priority="173" stopIfTrue="1" operator="lessThan">
      <formula>100%</formula>
    </cfRule>
  </conditionalFormatting>
  <conditionalFormatting sqref="K107:K112">
    <cfRule type="cellIs" dxfId="2844" priority="199" stopIfTrue="1" operator="lessThan">
      <formula>100%</formula>
    </cfRule>
  </conditionalFormatting>
  <conditionalFormatting sqref="K114:K115">
    <cfRule type="cellIs" dxfId="2843" priority="206" stopIfTrue="1" operator="lessThan">
      <formula>100%</formula>
    </cfRule>
  </conditionalFormatting>
  <conditionalFormatting sqref="L10:L54">
    <cfRule type="cellIs" dxfId="2842" priority="28" operator="greaterThan">
      <formula>65</formula>
    </cfRule>
    <cfRule type="cellIs" dxfId="2841" priority="27" operator="between">
      <formula>61</formula>
      <formula>65</formula>
    </cfRule>
  </conditionalFormatting>
  <conditionalFormatting sqref="L57:M68">
    <cfRule type="cellIs" dxfId="2840" priority="44" operator="lessThan">
      <formula>98</formula>
    </cfRule>
  </conditionalFormatting>
  <conditionalFormatting sqref="L105:M105">
    <cfRule type="cellIs" dxfId="2839" priority="3" stopIfTrue="1" operator="lessThan">
      <formula>100%</formula>
    </cfRule>
  </conditionalFormatting>
  <conditionalFormatting sqref="L72:N72">
    <cfRule type="cellIs" dxfId="2838" priority="115" operator="notEqual">
      <formula>#REF!</formula>
    </cfRule>
  </conditionalFormatting>
  <conditionalFormatting sqref="L107:N115">
    <cfRule type="cellIs" dxfId="2837" priority="184" stopIfTrue="1" operator="lessThan">
      <formula>100%</formula>
    </cfRule>
  </conditionalFormatting>
  <conditionalFormatting sqref="M10:M21">
    <cfRule type="expression" dxfId="2836" priority="23">
      <formula>IF(+(IF(M10&lt;V10,0,IF(M10&gt;W10,0,1)))=0,1)</formula>
    </cfRule>
  </conditionalFormatting>
  <conditionalFormatting sqref="M22:M33">
    <cfRule type="expression" dxfId="2835" priority="72">
      <formula>IF(+(IF(M22&lt;U22,0,IF(M22&gt;V22,0,1)))=0,1)</formula>
    </cfRule>
  </conditionalFormatting>
  <conditionalFormatting sqref="M34:M54">
    <cfRule type="expression" dxfId="2834" priority="70">
      <formula>IF(+(IF(M34&lt;V34,0,IF(M34&gt;W34,0,1)))=0,1)</formula>
    </cfRule>
  </conditionalFormatting>
  <conditionalFormatting sqref="M6:N6">
    <cfRule type="cellIs" dxfId="2833" priority="117" operator="greaterThanOrEqual">
      <formula>19</formula>
    </cfRule>
    <cfRule type="cellIs" dxfId="2832" priority="116" operator="greaterThanOrEqual">
      <formula>15</formula>
    </cfRule>
  </conditionalFormatting>
  <conditionalFormatting sqref="N10:N21">
    <cfRule type="expression" dxfId="2831" priority="24">
      <formula>IF(+(IF(N10&lt;X10,0,IF(N10&gt;Y10,0,1)))=0,1)</formula>
    </cfRule>
  </conditionalFormatting>
  <conditionalFormatting sqref="N22:N33">
    <cfRule type="expression" dxfId="2830" priority="73">
      <formula>IF(+(IF(N22&lt;W22,0,IF(N22&gt;X22,0,1)))=0,1)</formula>
    </cfRule>
  </conditionalFormatting>
  <conditionalFormatting sqref="N34:N54">
    <cfRule type="expression" dxfId="2829" priority="71">
      <formula>IF(+(IF(N34&lt;X34,0,IF(N34&gt;Y34,0,1)))=0,1)</formula>
    </cfRule>
  </conditionalFormatting>
  <conditionalFormatting sqref="N40">
    <cfRule type="expression" dxfId="2828" priority="216">
      <formula>IF(+(IF(N40&lt;X91,0,IF(N40&gt;Y91,0,1)))=0,1)</formula>
    </cfRule>
    <cfRule type="expression" dxfId="2827" priority="215">
      <formula>IF(+(IF(N40&lt;X96,0,IF(N40&gt;Y96,0,1)))=0,1)</formula>
    </cfRule>
  </conditionalFormatting>
  <conditionalFormatting sqref="N54">
    <cfRule type="expression" dxfId="2826" priority="217">
      <formula>IF(+(IF(N54&lt;X98,0,IF(N54&gt;Y98,0,1)))=0,1)</formula>
    </cfRule>
    <cfRule type="expression" dxfId="2825" priority="218">
      <formula>IF(+(IF(N54&lt;X93,0,IF(N54&gt;Y93,0,1)))=0,1)</formula>
    </cfRule>
  </conditionalFormatting>
  <conditionalFormatting sqref="P6">
    <cfRule type="cellIs" dxfId="2824" priority="180" operator="greaterThanOrEqual">
      <formula>19</formula>
    </cfRule>
  </conditionalFormatting>
  <dataValidations count="1">
    <dataValidation type="list" allowBlank="1" showInputMessage="1" showErrorMessage="1" sqref="S8 B54" xr:uid="{085058BC-FDB0-4855-91B4-578ACC4C606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9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C72F-64F4-4A44-A425-1DDFD02F8B41}">
  <sheetPr>
    <pageSetUpPr fitToPage="1"/>
  </sheetPr>
  <dimension ref="A1:BF85"/>
  <sheetViews>
    <sheetView zoomScale="80" zoomScaleNormal="80" workbookViewId="0">
      <selection activeCell="B12" sqref="B12:O12"/>
    </sheetView>
  </sheetViews>
  <sheetFormatPr defaultColWidth="9.44140625" defaultRowHeight="13.8"/>
  <cols>
    <col min="1" max="1" width="3.44140625" style="275" customWidth="1"/>
    <col min="2" max="2" width="26.33203125" style="275" customWidth="1"/>
    <col min="3" max="3" width="13.44140625" style="275" customWidth="1"/>
    <col min="4" max="4" width="9.44140625" style="275" bestFit="1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57.664062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171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45722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170</v>
      </c>
      <c r="K6" s="404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33" t="s">
        <v>9</v>
      </c>
      <c r="C10" s="366" t="str">
        <f>[24]Brewhouse!$A106</f>
        <v>ST090</v>
      </c>
      <c r="D10" s="279">
        <f>[24]Brewhouse!$AD106</f>
        <v>52.4</v>
      </c>
      <c r="E10" s="279">
        <f>[24]Brewhouse!$AG106</f>
        <v>48.9</v>
      </c>
      <c r="F10" s="278">
        <f>[24]Brewhouse!$V106</f>
        <v>58</v>
      </c>
      <c r="G10" s="279">
        <f>[24]Brewhouse!$AE106</f>
        <v>11.74</v>
      </c>
      <c r="H10" s="396">
        <v>11.8</v>
      </c>
      <c r="I10" s="416">
        <f>[24]Brewhouse!$AS106</f>
        <v>96.728268188487093</v>
      </c>
      <c r="J10" s="416">
        <f>[24]Brewhouse!$AT106</f>
        <v>96.089719278755197</v>
      </c>
      <c r="K10" s="398">
        <f>[24]Brewhouse!$Q106</f>
        <v>7.4275362318840603</v>
      </c>
      <c r="L10" s="276">
        <f>[24]Brewhouse!$P106</f>
        <v>62</v>
      </c>
      <c r="M10" s="374">
        <f>[24]Brewhouse!$U106-[24]Brewhouse!$T106</f>
        <v>0.10833333333333339</v>
      </c>
      <c r="N10" s="370">
        <f>[24]Brewhouse!$AW106</f>
        <v>0.26111111111111107</v>
      </c>
      <c r="O10" s="417" t="str">
        <f>[24]Brewhouse!$AV106</f>
        <v>R.Sookram</v>
      </c>
      <c r="P10" s="369"/>
      <c r="Q10" s="347"/>
      <c r="S10" s="277" t="str">
        <f t="shared" ref="S10:S23" si="0">B10</f>
        <v>STAG</v>
      </c>
      <c r="T10" s="296">
        <f t="shared" ref="T10:T23" si="1">VLOOKUP($B10,$S$3:$Y$9,2,FALSE)</f>
        <v>11.6</v>
      </c>
      <c r="U10" s="296">
        <f t="shared" ref="U10:U23" si="2">VLOOKUP($B10,$S$3:$Y$9,3,FALSE)</f>
        <v>12</v>
      </c>
      <c r="V10" s="297">
        <f t="shared" ref="V10:V23" si="3">VLOOKUP($B10,$S$3:$Y$9,4,FALSE)</f>
        <v>0</v>
      </c>
      <c r="W10" s="297">
        <f t="shared" ref="W10:W23" si="4">VLOOKUP($B10,$S$3:$Y$9,5,FALSE)</f>
        <v>0.118055555555556</v>
      </c>
      <c r="X10" s="297">
        <f t="shared" ref="X10:X23" si="5">VLOOKUP($B10,$S$3:$Y$9,6,FALSE)</f>
        <v>0.22569444444444445</v>
      </c>
      <c r="Y10" s="297">
        <f t="shared" ref="Y10:Y23" si="6">VLOOKUP($B10,$S$3:$Y$9,7,FALSE)</f>
        <v>0.2638888888888889</v>
      </c>
      <c r="Z10" s="297">
        <f t="shared" ref="Z10:Z23" si="7">VLOOKUP($B10,$S$3:$AA$9,8,FALSE)</f>
        <v>0</v>
      </c>
      <c r="AA10" s="296">
        <f t="shared" ref="AA10:AA23" si="8">VLOOKUP($B10,$S$3:$AA$9,9,FALSE)</f>
        <v>60</v>
      </c>
    </row>
    <row r="11" spans="2:30" ht="14.4">
      <c r="B11" s="33" t="s">
        <v>9</v>
      </c>
      <c r="C11" s="366" t="str">
        <f>[24]Brewhouse!$A107</f>
        <v>ST091</v>
      </c>
      <c r="D11" s="279">
        <f>[24]Brewhouse!$AD107</f>
        <v>50.5</v>
      </c>
      <c r="E11" s="279">
        <f>[24]Brewhouse!$AG107</f>
        <v>47.1</v>
      </c>
      <c r="F11" s="278">
        <f>[24]Brewhouse!$V107</f>
        <v>57</v>
      </c>
      <c r="G11" s="279">
        <f>[24]Brewhouse!$AE107</f>
        <v>11.9</v>
      </c>
      <c r="H11" s="396">
        <v>11.8</v>
      </c>
      <c r="I11" s="416">
        <f>[24]Brewhouse!$AS107</f>
        <v>94.725921358787076</v>
      </c>
      <c r="J11" s="416">
        <f>[24]Brewhouse!$AT107</f>
        <v>94.100388125687857</v>
      </c>
      <c r="K11" s="398">
        <f>[24]Brewhouse!$Q107</f>
        <v>7.4626865671641784</v>
      </c>
      <c r="L11" s="276">
        <f>[24]Brewhouse!$P107</f>
        <v>60</v>
      </c>
      <c r="M11" s="374">
        <f>[24]Brewhouse!$U107-[24]Brewhouse!$T107</f>
        <v>0.12152777777777773</v>
      </c>
      <c r="N11" s="370">
        <f>[24]Brewhouse!$AW107</f>
        <v>0.30138888888888887</v>
      </c>
      <c r="O11" s="417" t="str">
        <f>[24]Brewhouse!$AV107</f>
        <v>R.Sookram</v>
      </c>
      <c r="P11" s="369"/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4.4">
      <c r="B12" s="33" t="s">
        <v>9</v>
      </c>
      <c r="C12" s="366" t="str">
        <f>[24]Brewhouse!$A108</f>
        <v>ST092</v>
      </c>
      <c r="D12" s="279">
        <f>[24]Brewhouse!$AD108</f>
        <v>52.2</v>
      </c>
      <c r="E12" s="279">
        <f>[24]Brewhouse!$AG108</f>
        <v>48.9</v>
      </c>
      <c r="F12" s="278">
        <f>[24]Brewhouse!$V108</f>
        <v>68</v>
      </c>
      <c r="G12" s="279">
        <f>[24]Brewhouse!$AE108</f>
        <v>11.7</v>
      </c>
      <c r="H12" s="396"/>
      <c r="I12" s="416">
        <f>[24]Brewhouse!$AS108</f>
        <v>96.728268188487093</v>
      </c>
      <c r="J12" s="416">
        <f>[24]Brewhouse!$AT108</f>
        <v>96.089719278755197</v>
      </c>
      <c r="K12" s="398">
        <f>[24]Brewhouse!$Q108</f>
        <v>4.8598130841121527</v>
      </c>
      <c r="L12" s="276">
        <f>[24]Brewhouse!$P108</f>
        <v>59</v>
      </c>
      <c r="M12" s="374">
        <f>[24]Brewhouse!$U108-[24]Brewhouse!$T108</f>
        <v>0.11805555555555558</v>
      </c>
      <c r="N12" s="370">
        <f>[24]Brewhouse!$AW108</f>
        <v>0.27083333333333337</v>
      </c>
      <c r="O12" s="417" t="str">
        <f>[24]Brewhouse!$AV108</f>
        <v>K. Benjamin</v>
      </c>
      <c r="P12" s="369"/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4.4">
      <c r="B13" s="22"/>
      <c r="C13" s="366"/>
      <c r="D13" s="279"/>
      <c r="E13" s="279"/>
      <c r="F13" s="278"/>
      <c r="G13" s="279"/>
      <c r="H13" s="402"/>
      <c r="I13" s="368"/>
      <c r="J13" s="368"/>
      <c r="K13" s="281"/>
      <c r="L13" s="276"/>
      <c r="M13" s="374"/>
      <c r="N13" s="370"/>
      <c r="O13" s="371"/>
      <c r="P13" s="369"/>
      <c r="Q13" s="347"/>
      <c r="S13" s="277"/>
      <c r="T13" s="296"/>
      <c r="U13" s="296"/>
      <c r="V13" s="297"/>
      <c r="W13" s="297"/>
      <c r="X13" s="297"/>
      <c r="Y13" s="297"/>
      <c r="Z13" s="297"/>
      <c r="AA13" s="296"/>
    </row>
    <row r="14" spans="2:30" ht="15.75" customHeight="1">
      <c r="B14" s="29" t="s">
        <v>6</v>
      </c>
      <c r="C14" s="366" t="str">
        <f>[23]Brewhouse!$A262</f>
        <v>CA159</v>
      </c>
      <c r="D14" s="279">
        <f>[23]Brewhouse!$AF262</f>
        <v>52.9</v>
      </c>
      <c r="E14" s="279">
        <f>[23]Brewhouse!$AI262</f>
        <v>48.8</v>
      </c>
      <c r="F14" s="278">
        <f>[23]Brewhouse!$V262</f>
        <v>71</v>
      </c>
      <c r="G14" s="279">
        <f>[23]Brewhouse!$AG262</f>
        <v>12.2</v>
      </c>
      <c r="H14" s="396">
        <v>12.2</v>
      </c>
      <c r="I14" s="368">
        <f>[23]Brewhouse!$AU262</f>
        <v>103.44040315564746</v>
      </c>
      <c r="J14" s="368">
        <f>[23]Brewhouse!$AV262</f>
        <v>102.61706151401722</v>
      </c>
      <c r="K14" s="281">
        <f>[23]Brewhouse!$Q262</f>
        <v>3.5754189944134112</v>
      </c>
      <c r="L14" s="276">
        <f>[23]Brewhouse!$P262</f>
        <v>61</v>
      </c>
      <c r="M14" s="397">
        <f>[23]Brewhouse!$U262-[23]Brewhouse!$T262</f>
        <v>0.12222222222222223</v>
      </c>
      <c r="N14" s="370">
        <f>[23]Brewhouse!$Z262</f>
        <v>0.25833333333333336</v>
      </c>
      <c r="O14" s="371" t="str">
        <f>[23]Brewhouse!$AX262</f>
        <v>K.Benjamin</v>
      </c>
      <c r="P14" s="369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[23]Brewhouse!$A263</f>
        <v>CA160</v>
      </c>
      <c r="D15" s="279">
        <f>[23]Brewhouse!$AF263</f>
        <v>53.5</v>
      </c>
      <c r="E15" s="279">
        <f>[23]Brewhouse!$AI263</f>
        <v>49.9</v>
      </c>
      <c r="F15" s="278">
        <f>[23]Brewhouse!$V263</f>
        <v>59</v>
      </c>
      <c r="G15" s="279">
        <f>[23]Brewhouse!$AG263</f>
        <v>12</v>
      </c>
      <c r="H15" s="396">
        <v>12</v>
      </c>
      <c r="I15" s="368">
        <f>[23]Brewhouse!$AU263</f>
        <v>103.55524050594897</v>
      </c>
      <c r="J15" s="368">
        <f>[23]Brewhouse!$AV263</f>
        <v>102.73084154973755</v>
      </c>
      <c r="K15" s="281">
        <f>[23]Brewhouse!$Q263</f>
        <v>5.7913669064748179</v>
      </c>
      <c r="L15" s="276">
        <f>[23]Brewhouse!$P263</f>
        <v>61</v>
      </c>
      <c r="M15" s="397">
        <f>[23]Brewhouse!$U263-[23]Brewhouse!$T263</f>
        <v>0.11388888888888893</v>
      </c>
      <c r="N15" s="370">
        <f>[23]Brewhouse!$Z263</f>
        <v>0.26041666666666669</v>
      </c>
      <c r="O15" s="371" t="str">
        <f>[23]Brewhouse!$AX263</f>
        <v>K.Benjamin</v>
      </c>
      <c r="P15" s="369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 t="s">
        <v>6</v>
      </c>
      <c r="C16" s="366" t="str">
        <f>[23]Brewhouse!$A264</f>
        <v>CA161</v>
      </c>
      <c r="D16" s="279">
        <f>[23]Brewhouse!$AF264</f>
        <v>54.2</v>
      </c>
      <c r="E16" s="279">
        <f>[23]Brewhouse!$AI264</f>
        <v>51</v>
      </c>
      <c r="F16" s="278">
        <f>[23]Brewhouse!$V264</f>
        <v>69</v>
      </c>
      <c r="G16" s="279">
        <f>[23]Brewhouse!$AG264</f>
        <v>11.7</v>
      </c>
      <c r="H16" s="396">
        <v>11.7</v>
      </c>
      <c r="I16" s="368">
        <f>[23]Brewhouse!$AU264</f>
        <v>103.31964719473716</v>
      </c>
      <c r="J16" s="368">
        <f>[23]Brewhouse!$AV264</f>
        <v>102.49721895381867</v>
      </c>
      <c r="K16" s="281">
        <f>[23]Brewhouse!$Q264</f>
        <v>6.5034965034965015</v>
      </c>
      <c r="L16" s="276">
        <f>[23]Brewhouse!$P264</f>
        <v>60</v>
      </c>
      <c r="M16" s="397">
        <f>[23]Brewhouse!$U264-[23]Brewhouse!$T264</f>
        <v>0.12083333333333335</v>
      </c>
      <c r="N16" s="370">
        <f>[23]Brewhouse!$Z264</f>
        <v>0.26458333333333339</v>
      </c>
      <c r="O16" s="371" t="str">
        <f>[23]Brewhouse!$AX264</f>
        <v>R.Regis</v>
      </c>
      <c r="P16" s="369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 t="s">
        <v>6</v>
      </c>
      <c r="C17" s="366" t="str">
        <f>[23]Brewhouse!$A265</f>
        <v>CA162</v>
      </c>
      <c r="D17" s="279">
        <f>[23]Brewhouse!$AF265</f>
        <v>53.8</v>
      </c>
      <c r="E17" s="279">
        <f>[23]Brewhouse!$AI265</f>
        <v>48.8</v>
      </c>
      <c r="F17" s="278">
        <f>[23]Brewhouse!$V265</f>
        <v>75</v>
      </c>
      <c r="G17" s="279">
        <f>[23]Brewhouse!$AG265</f>
        <v>11.7</v>
      </c>
      <c r="H17" s="396">
        <v>11.7</v>
      </c>
      <c r="I17" s="368">
        <f>[23]Brewhouse!$AU265</f>
        <v>95.931616007214288</v>
      </c>
      <c r="J17" s="368">
        <f>[23]Brewhouse!$AV265</f>
        <v>95.166965256958704</v>
      </c>
      <c r="K17" s="281">
        <f>[23]Brewhouse!$Q265</f>
        <v>5.5516014234875524</v>
      </c>
      <c r="L17" s="276">
        <f>[23]Brewhouse!$P265</f>
        <v>61</v>
      </c>
      <c r="M17" s="397">
        <f>[23]Brewhouse!$U265-[23]Brewhouse!$T265</f>
        <v>0.12430555555555556</v>
      </c>
      <c r="N17" s="370">
        <f>[23]Brewhouse!$Z265</f>
        <v>0.26527777777777783</v>
      </c>
      <c r="O17" s="371" t="str">
        <f>[23]Brewhouse!$AX265</f>
        <v>R.Regis</v>
      </c>
      <c r="P17" s="369"/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 t="s">
        <v>6</v>
      </c>
      <c r="C18" s="366" t="str">
        <f>[23]Brewhouse!$A266</f>
        <v>CA163</v>
      </c>
      <c r="D18" s="279">
        <f>[23]Brewhouse!$AF266</f>
        <v>53.3</v>
      </c>
      <c r="E18" s="279">
        <f>[23]Brewhouse!$AI266</f>
        <v>50.3</v>
      </c>
      <c r="F18" s="278">
        <f>[23]Brewhouse!$V266</f>
        <v>81</v>
      </c>
      <c r="G18" s="279">
        <f>[23]Brewhouse!$AG266</f>
        <v>12.6</v>
      </c>
      <c r="H18" s="396">
        <v>12.5</v>
      </c>
      <c r="I18" s="368">
        <f>[23]Brewhouse!$AU266</f>
        <v>106.48989247788745</v>
      </c>
      <c r="J18" s="368">
        <f>[23]Brewhouse!$AV266</f>
        <v>105.64094555266243</v>
      </c>
      <c r="K18" s="281">
        <f>[23]Brewhouse!$Q266</f>
        <v>6.7971530249110321</v>
      </c>
      <c r="L18" s="276">
        <f>[23]Brewhouse!$P266</f>
        <v>63</v>
      </c>
      <c r="M18" s="397">
        <f>[23]Brewhouse!$U266-[23]Brewhouse!$T266</f>
        <v>0.13611111111111107</v>
      </c>
      <c r="N18" s="370">
        <f>[23]Brewhouse!$Z266</f>
        <v>0.28611111111111098</v>
      </c>
      <c r="O18" s="371" t="str">
        <f>[23]Brewhouse!$AX266</f>
        <v>R.Regis</v>
      </c>
      <c r="P18" s="369"/>
      <c r="Q18" s="347"/>
      <c r="S18" s="277" t="str">
        <f t="shared" si="0"/>
        <v>CARIB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1:27" ht="46.2" customHeight="1">
      <c r="B19" s="29" t="s">
        <v>6</v>
      </c>
      <c r="C19" s="366" t="str">
        <f>[23]Brewhouse!$A267</f>
        <v>CA164</v>
      </c>
      <c r="D19" s="279">
        <f>[23]Brewhouse!$AF267</f>
        <v>56.1</v>
      </c>
      <c r="E19" s="279">
        <f>[23]Brewhouse!$AI267</f>
        <v>52.8</v>
      </c>
      <c r="F19" s="278">
        <f>[23]Brewhouse!$V267</f>
        <v>84</v>
      </c>
      <c r="G19" s="279">
        <f>[23]Brewhouse!$AG267</f>
        <v>11.62</v>
      </c>
      <c r="H19" s="396">
        <v>11.5</v>
      </c>
      <c r="I19" s="368">
        <f>[23]Brewhouse!$AU267</f>
        <v>102.73439130971231</v>
      </c>
      <c r="J19" s="368">
        <f>[23]Brewhouse!$AV267</f>
        <v>101.91547245992101</v>
      </c>
      <c r="K19" s="281">
        <f>[23]Brewhouse!$Q267</f>
        <v>5.0085763293310377</v>
      </c>
      <c r="L19" s="276">
        <f>[23]Brewhouse!$P267</f>
        <v>59</v>
      </c>
      <c r="M19" s="397">
        <f>[23]Brewhouse!$U267-[23]Brewhouse!$T267</f>
        <v>0.1611111111111112</v>
      </c>
      <c r="N19" s="370">
        <f>[23]Brewhouse!$Z267</f>
        <v>0.59930555555555554</v>
      </c>
      <c r="O19" s="371" t="str">
        <f>[23]Brewhouse!$AX267</f>
        <v>K.Benjamin</v>
      </c>
      <c r="P19" s="369" t="s">
        <v>172</v>
      </c>
      <c r="Q19" s="347"/>
      <c r="S19" s="277" t="str">
        <f t="shared" si="0"/>
        <v>CARIB</v>
      </c>
      <c r="T19" s="296">
        <f t="shared" si="1"/>
        <v>11.6</v>
      </c>
      <c r="U19" s="296">
        <f t="shared" si="2"/>
        <v>12</v>
      </c>
      <c r="V19" s="297">
        <f t="shared" si="3"/>
        <v>0</v>
      </c>
      <c r="W19" s="297">
        <f t="shared" si="4"/>
        <v>0.118055555555556</v>
      </c>
      <c r="X19" s="297">
        <f t="shared" si="5"/>
        <v>0.22569444444444445</v>
      </c>
      <c r="Y19" s="297">
        <f t="shared" si="6"/>
        <v>0.2638888888888889</v>
      </c>
      <c r="Z19" s="297">
        <f t="shared" si="7"/>
        <v>0</v>
      </c>
      <c r="AA19" s="296">
        <f t="shared" si="8"/>
        <v>60</v>
      </c>
    </row>
    <row r="20" spans="1:27" ht="14.4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4.4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369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481" t="s">
        <v>34</v>
      </c>
      <c r="J24" s="481"/>
      <c r="K24" s="481"/>
      <c r="L24" s="481"/>
      <c r="M24" s="481"/>
      <c r="N24" s="481"/>
      <c r="O24" s="1"/>
      <c r="P24" s="12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thickBot="1">
      <c r="B25" s="388" t="s">
        <v>145</v>
      </c>
      <c r="C25" s="388"/>
      <c r="D25" s="459" t="s">
        <v>35</v>
      </c>
      <c r="E25" s="460"/>
      <c r="F25" s="294"/>
      <c r="G25" s="294"/>
      <c r="H25" s="23"/>
      <c r="I25" s="24" t="s">
        <v>17</v>
      </c>
      <c r="J25" s="25" t="s">
        <v>146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6" t="s">
        <v>12</v>
      </c>
      <c r="C26" s="362" cm="1">
        <f t="array" ref="C26:C27">[25]Process!$D$29:$D$30</f>
        <v>17.600000000000001</v>
      </c>
      <c r="D26" s="485">
        <v>17.649999999999999</v>
      </c>
      <c r="E26" s="486"/>
      <c r="F26" s="294"/>
      <c r="G26" s="294"/>
      <c r="H26" s="294"/>
      <c r="I26" s="29" t="s">
        <v>6</v>
      </c>
      <c r="J26" s="323">
        <f>AVERAGE(I14:I19)</f>
        <v>102.57853177519128</v>
      </c>
      <c r="K26" s="284">
        <f>COUNTA([23]Brewhouse!$A$255:$A$267)</f>
        <v>13</v>
      </c>
      <c r="L26" s="302">
        <f>AVERAGE([23]Brewhouse!$AU$255:$AU$267)</f>
        <v>100.9328013016208</v>
      </c>
      <c r="M26" s="302">
        <f>AVERAGE([23]Brewhouse!$AU$102:$AU$171,[23]Brewhouse!$AU$173:$AU$253,[23]Brewhouse!$AU$255:$AU$267)</f>
        <v>96.029219939930016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5" customHeight="1">
      <c r="A27" s="28"/>
      <c r="B27" s="537"/>
      <c r="C27" s="349">
        <v>17.5</v>
      </c>
      <c r="D27" s="487"/>
      <c r="E27" s="488"/>
      <c r="F27" s="294"/>
      <c r="G27" s="294"/>
      <c r="H27" s="32"/>
      <c r="I27" s="33" t="s">
        <v>9</v>
      </c>
      <c r="J27" s="323">
        <f>AVERAGE(I10:I12)</f>
        <v>96.060819245253754</v>
      </c>
      <c r="K27" s="284">
        <f>COUNTA([24]Brewhouse!$A$105:$A$108)</f>
        <v>4</v>
      </c>
      <c r="L27" s="302">
        <f>AVERAGE([24]Brewhouse!$AS$105:$AS$108)</f>
        <v>96.250115276380697</v>
      </c>
      <c r="M27" s="302">
        <f>AVERAGE([24]Brewhouse!$AS$15:$AS$64,[24]Brewhouse!$AS$66:$AS$103,[24]Brewhouse!$AS$105:$AS$108)</f>
        <v>95.903646008746549</v>
      </c>
      <c r="N27" s="30">
        <v>98</v>
      </c>
      <c r="O27" s="11"/>
      <c r="P27" s="31"/>
      <c r="S27" s="277"/>
      <c r="T27" s="296"/>
      <c r="U27" s="296"/>
      <c r="V27" s="297"/>
      <c r="W27" s="297"/>
      <c r="X27" s="297"/>
      <c r="Y27" s="297"/>
      <c r="Z27" s="297"/>
      <c r="AA27" s="296"/>
    </row>
    <row r="28" spans="1:27" ht="14.7" customHeight="1">
      <c r="A28" s="28"/>
      <c r="B28" s="537"/>
      <c r="C28" s="349" cm="1">
        <f t="array" ref="C28:C29">[25]Process!$D$33:$D$34</f>
        <v>17.399999999999999</v>
      </c>
      <c r="D28" s="485">
        <v>17.52</v>
      </c>
      <c r="E28" s="486"/>
      <c r="F28" s="294"/>
      <c r="G28" s="294"/>
      <c r="H28" s="32"/>
      <c r="I28" s="34" t="s">
        <v>12</v>
      </c>
      <c r="J28" s="280"/>
      <c r="K28" s="284"/>
      <c r="L28" s="302"/>
      <c r="M28" s="302">
        <f>AVERAGE([25]Brewhouse!$AU$4:$AU$7,[25]Brewhouse!$AU$9:$AU$22)</f>
        <v>96.218977154617249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7"/>
      <c r="C29" s="349">
        <v>17.399999999999999</v>
      </c>
      <c r="D29" s="487"/>
      <c r="E29" s="488"/>
      <c r="F29" s="294"/>
      <c r="G29" s="294"/>
      <c r="H29" s="32"/>
      <c r="I29" s="22" t="s">
        <v>33</v>
      </c>
      <c r="J29" s="280"/>
      <c r="K29" s="284"/>
      <c r="L29" s="302"/>
      <c r="M29" s="302">
        <f>AVERAGE([26]Brewhouse!$AV$5:$AV$14,[26]Brewhouse!$AV$16:$AV$19)</f>
        <v>98.230957815544443</v>
      </c>
      <c r="N29" s="30">
        <v>98</v>
      </c>
      <c r="O29" s="11"/>
      <c r="P29" s="31"/>
      <c r="S29" s="23"/>
      <c r="T29" s="1"/>
      <c r="U29" s="1"/>
      <c r="AA29" s="285"/>
    </row>
    <row r="30" spans="1:27" ht="14.7" customHeight="1">
      <c r="A30" s="28"/>
      <c r="B30" s="537"/>
      <c r="C30" s="349"/>
      <c r="D30" s="485"/>
      <c r="E30" s="486"/>
      <c r="F30" s="294"/>
      <c r="G30" s="294"/>
      <c r="H30" s="32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S30" s="23"/>
    </row>
    <row r="31" spans="1:27" ht="14.7" customHeight="1">
      <c r="A31" s="28"/>
      <c r="B31" s="537"/>
      <c r="C31" s="349"/>
      <c r="D31" s="487"/>
      <c r="E31" s="488"/>
      <c r="F31" s="294"/>
      <c r="G31" s="294"/>
      <c r="H31" s="32"/>
      <c r="I31" s="36" t="s">
        <v>15</v>
      </c>
      <c r="J31" s="323"/>
      <c r="K31" s="284"/>
      <c r="L31" s="302"/>
      <c r="M31" s="302">
        <f>AVERAGE([27]Brewhouse!$AT$4:$AT$11)</f>
        <v>94.812616598822359</v>
      </c>
      <c r="N31" s="30">
        <v>98</v>
      </c>
      <c r="O31" s="11"/>
      <c r="P31" s="31"/>
      <c r="S31" s="23"/>
    </row>
    <row r="32" spans="1:27" ht="14.7" customHeight="1">
      <c r="A32" s="28"/>
      <c r="B32" s="537"/>
      <c r="C32" s="349"/>
      <c r="D32" s="485"/>
      <c r="E32" s="486"/>
      <c r="F32" s="294"/>
      <c r="G32" s="294"/>
      <c r="H32" s="32"/>
      <c r="I32" s="37" t="s">
        <v>16</v>
      </c>
      <c r="J32" s="323"/>
      <c r="K32" s="284">
        <f>COUNTA([22]Brewhouse!$A$22:$A$29)</f>
        <v>8</v>
      </c>
      <c r="L32" s="302">
        <f>AVERAGE([22]Brewhouse!$AY$22:$AY$29)</f>
        <v>98.065834237903474</v>
      </c>
      <c r="M32" s="302">
        <f>AVERAGE([22]Brewhouse!$AY$6:$AY$13,[22]Brewhouse!$AY$15:$AY$20,[22]Brewhouse!$AY$22:$AY$29)</f>
        <v>95.660462473217876</v>
      </c>
      <c r="N32" s="30">
        <v>98</v>
      </c>
      <c r="O32" s="11"/>
      <c r="P32" s="31" t="s">
        <v>41</v>
      </c>
      <c r="S32" s="23"/>
      <c r="X32" s="275" t="s">
        <v>41</v>
      </c>
    </row>
    <row r="33" spans="1:57" ht="14.7" customHeight="1">
      <c r="A33" s="28"/>
      <c r="B33" s="537"/>
      <c r="C33" s="349"/>
      <c r="D33" s="487"/>
      <c r="E33" s="488"/>
      <c r="F33" s="294"/>
      <c r="G33" s="294"/>
      <c r="H33" s="32"/>
      <c r="I33" s="415" t="s">
        <v>158</v>
      </c>
      <c r="J33" s="326"/>
      <c r="K33" s="284"/>
      <c r="L33" s="305"/>
      <c r="M33" s="305">
        <f>AVERAGE([28]Brewhouse!$AU$5:$AU$8)</f>
        <v>91.006888337619571</v>
      </c>
      <c r="N33" s="30">
        <v>98</v>
      </c>
      <c r="O33" s="11"/>
      <c r="P33" s="31"/>
      <c r="S33" s="23"/>
    </row>
    <row r="34" spans="1:57" ht="14.7" customHeight="1">
      <c r="A34" s="28"/>
      <c r="B34" s="537"/>
      <c r="C34" s="349"/>
      <c r="D34" s="485"/>
      <c r="E34" s="486"/>
      <c r="F34" s="294"/>
      <c r="G34" s="294"/>
      <c r="H34" s="32"/>
      <c r="I34" s="414" t="s">
        <v>157</v>
      </c>
      <c r="J34" s="326"/>
      <c r="K34" s="284"/>
      <c r="L34" s="305"/>
      <c r="M34" s="305"/>
      <c r="N34" s="30"/>
      <c r="O34" s="11"/>
      <c r="P34" s="31"/>
      <c r="S34" s="23"/>
    </row>
    <row r="35" spans="1:57" ht="15" customHeight="1" thickBot="1">
      <c r="A35" s="28"/>
      <c r="B35" s="537"/>
      <c r="C35" s="349"/>
      <c r="D35" s="487"/>
      <c r="E35" s="488"/>
      <c r="F35" s="294"/>
      <c r="G35" s="294"/>
      <c r="H35" s="32"/>
      <c r="I35" s="410" t="s">
        <v>156</v>
      </c>
      <c r="J35" s="327"/>
      <c r="K35" s="411"/>
      <c r="L35" s="412"/>
      <c r="M35" s="412"/>
      <c r="N35" s="413">
        <v>98</v>
      </c>
      <c r="O35" s="11"/>
      <c r="P35" s="31"/>
      <c r="S35" s="23"/>
    </row>
    <row r="36" spans="1:57" ht="15" customHeight="1" thickBot="1">
      <c r="A36" s="28"/>
      <c r="B36" s="537"/>
      <c r="C36" s="349"/>
      <c r="D36" s="485"/>
      <c r="E36" s="486"/>
      <c r="F36" s="294"/>
      <c r="G36" s="294"/>
      <c r="H36" s="32"/>
      <c r="I36" s="1"/>
      <c r="J36" s="39"/>
      <c r="K36" s="408">
        <f>SUM(K26:K35)</f>
        <v>25</v>
      </c>
      <c r="L36" s="409">
        <f>((L26*K26)+(L27*K27)+(L28*K28)+(L29*K29)+(L30*K30)+(K33*L33)+(L31*K31)+(L32*K32)+(L35*K35))/(K36)</f>
        <v>99.266142077192839</v>
      </c>
      <c r="M36" s="409">
        <f>AVERAGE('[29]Jan 31st'!$L$65,'[30]Feb 28th'!$L$35,L36)</f>
        <v>96.903039501530614</v>
      </c>
      <c r="N36" s="40">
        <v>98</v>
      </c>
      <c r="O36" s="11"/>
      <c r="P36" s="31"/>
      <c r="S36" s="23"/>
    </row>
    <row r="37" spans="1:57" ht="15" thickBot="1">
      <c r="B37" s="538"/>
      <c r="C37" s="350"/>
      <c r="D37" s="487"/>
      <c r="E37" s="48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S37" s="23"/>
    </row>
    <row r="38" spans="1:57" ht="15" thickBot="1">
      <c r="B38" s="539" t="s">
        <v>16</v>
      </c>
      <c r="C38" s="362" cm="1">
        <f t="array" ref="C38:C41">[22]Process!$D$21:$D$24</f>
        <v>17.100000000000001</v>
      </c>
      <c r="D38" s="498">
        <v>17.170000000000002</v>
      </c>
      <c r="E38" s="499"/>
      <c r="F38" s="43"/>
      <c r="G38" s="41"/>
      <c r="H38" s="41"/>
      <c r="I38" s="42"/>
      <c r="J38" s="501" t="s">
        <v>129</v>
      </c>
      <c r="K38" s="501"/>
      <c r="L38" s="294"/>
      <c r="M38" s="294"/>
      <c r="N38" s="294"/>
      <c r="O38" s="294"/>
      <c r="P38" s="12"/>
      <c r="S38" s="23" t="s">
        <v>41</v>
      </c>
    </row>
    <row r="39" spans="1:57" ht="13.5" customHeight="1" thickBot="1">
      <c r="B39" s="540"/>
      <c r="C39" s="349">
        <v>17.8</v>
      </c>
      <c r="D39" s="500"/>
      <c r="E39" s="488"/>
      <c r="F39" s="43"/>
      <c r="G39" s="41"/>
      <c r="H39" s="41"/>
      <c r="I39" s="42"/>
      <c r="J39" s="418" t="s">
        <v>17</v>
      </c>
      <c r="K39" s="293" t="s">
        <v>147</v>
      </c>
      <c r="L39" s="502" t="s">
        <v>136</v>
      </c>
      <c r="M39" s="502"/>
      <c r="N39" s="503"/>
      <c r="O39" s="294"/>
      <c r="P39" s="12"/>
      <c r="S39" s="23"/>
    </row>
    <row r="40" spans="1:57" ht="15" customHeight="1" thickBot="1">
      <c r="B40" s="540"/>
      <c r="C40" s="349">
        <v>17.2</v>
      </c>
      <c r="D40" s="504">
        <v>17.05</v>
      </c>
      <c r="E40" s="486"/>
      <c r="F40" s="43"/>
      <c r="G40" s="41"/>
      <c r="H40" s="41"/>
      <c r="I40" s="42"/>
      <c r="J40" s="419" t="s">
        <v>6</v>
      </c>
      <c r="K40" s="324">
        <f>COUNTA(B14:B19)</f>
        <v>6</v>
      </c>
      <c r="L40" s="343" t="s">
        <v>37</v>
      </c>
      <c r="M40" s="307" t="s">
        <v>38</v>
      </c>
      <c r="N40" s="307" t="s">
        <v>84</v>
      </c>
      <c r="O40" s="294"/>
      <c r="P40" s="12"/>
      <c r="S40" s="23"/>
    </row>
    <row r="41" spans="1:57" ht="15.75" customHeight="1" thickBot="1">
      <c r="B41" s="540"/>
      <c r="C41" s="349">
        <v>17.7</v>
      </c>
      <c r="D41" s="500"/>
      <c r="E41" s="488"/>
      <c r="F41" s="43"/>
      <c r="G41" s="41"/>
      <c r="H41" s="41"/>
      <c r="I41" s="42"/>
      <c r="J41" s="420" t="s">
        <v>9</v>
      </c>
      <c r="K41" s="324">
        <f>COUNTA(B10:B12)</f>
        <v>3</v>
      </c>
      <c r="L41" s="344">
        <f>AVERAGE('Mar. 3rd'!K80,'Mar. 4th'!K81,K50)</f>
        <v>8.3333333333333339</v>
      </c>
      <c r="M41" s="325">
        <f>AVERAGE('[29]Jan 29th '!$M$70,'[30]Feb 28th'!$L$40,L41)</f>
        <v>7.2814407814407813</v>
      </c>
      <c r="N41" s="400"/>
      <c r="O41" s="294"/>
      <c r="P41" s="12"/>
      <c r="S41" s="23"/>
    </row>
    <row r="42" spans="1:57" ht="15" customHeight="1">
      <c r="B42" s="540"/>
      <c r="C42" s="349"/>
      <c r="D42" s="504"/>
      <c r="E42" s="486"/>
      <c r="F42" s="43"/>
      <c r="G42" s="41"/>
      <c r="H42" s="41"/>
      <c r="I42" s="42"/>
      <c r="J42" s="421" t="s">
        <v>40</v>
      </c>
      <c r="K42" s="324"/>
      <c r="L42" s="294"/>
      <c r="M42" s="294"/>
      <c r="N42" s="294"/>
      <c r="O42" s="294"/>
      <c r="P42" s="12"/>
      <c r="S42" s="23"/>
    </row>
    <row r="43" spans="1:57" ht="15" customHeight="1">
      <c r="B43" s="540"/>
      <c r="C43" s="349"/>
      <c r="D43" s="500"/>
      <c r="E43" s="488"/>
      <c r="F43" s="43"/>
      <c r="G43" s="41"/>
      <c r="H43" s="41"/>
      <c r="I43" s="42"/>
      <c r="J43" s="422" t="s">
        <v>33</v>
      </c>
      <c r="K43" s="324"/>
      <c r="L43" s="294"/>
      <c r="M43" s="294"/>
      <c r="N43" s="294"/>
      <c r="O43" s="294"/>
      <c r="P43" s="12"/>
      <c r="S43" s="23"/>
    </row>
    <row r="44" spans="1:57" ht="14.4">
      <c r="B44" s="540"/>
      <c r="C44" s="349"/>
      <c r="D44" s="504"/>
      <c r="E44" s="486"/>
      <c r="F44" s="43"/>
      <c r="G44" s="41"/>
      <c r="H44" s="41"/>
      <c r="I44" s="42"/>
      <c r="J44" s="423" t="s">
        <v>16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40"/>
      <c r="C45" s="349"/>
      <c r="D45" s="500"/>
      <c r="E45" s="488"/>
      <c r="F45" s="43"/>
      <c r="G45" s="41"/>
      <c r="H45" s="41"/>
      <c r="I45" s="42"/>
      <c r="J45" s="424" t="s">
        <v>15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4.4">
      <c r="B46" s="540"/>
      <c r="C46" s="349"/>
      <c r="D46" s="505"/>
      <c r="E46" s="490"/>
      <c r="F46" s="43"/>
      <c r="G46" s="41"/>
      <c r="H46" s="41"/>
      <c r="I46" s="42"/>
      <c r="J46" s="424" t="s">
        <v>149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5" thickBot="1">
      <c r="B47" s="541"/>
      <c r="C47" s="350"/>
      <c r="D47" s="506"/>
      <c r="E47" s="507"/>
      <c r="F47" s="43"/>
      <c r="G47" s="41"/>
      <c r="H47" s="41"/>
      <c r="I47" s="42"/>
      <c r="J47" s="424" t="s">
        <v>148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 thickBot="1">
      <c r="B48" s="312" t="s">
        <v>139</v>
      </c>
      <c r="C48" s="313"/>
      <c r="D48" s="508">
        <f>AVERAGE(D26:E47)</f>
        <v>17.3475</v>
      </c>
      <c r="E48" s="509"/>
      <c r="F48" s="43"/>
      <c r="G48" s="41"/>
      <c r="H48" s="41"/>
      <c r="I48" s="42"/>
      <c r="J48" s="425" t="s">
        <v>134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7.7" customHeight="1">
      <c r="B49" s="363"/>
      <c r="C49" s="364"/>
      <c r="D49" s="365"/>
      <c r="E49" s="365"/>
      <c r="F49" s="43"/>
      <c r="G49" s="41"/>
      <c r="H49" s="41"/>
      <c r="I49" s="42"/>
      <c r="J49" s="425" t="s">
        <v>131</v>
      </c>
      <c r="K49" s="324"/>
      <c r="L49" s="294"/>
      <c r="M49" s="294"/>
      <c r="N49" s="294"/>
      <c r="O49" s="294"/>
      <c r="P49" s="12"/>
      <c r="S49" s="23"/>
      <c r="BD49" s="44"/>
      <c r="BE49" s="44"/>
    </row>
    <row r="50" spans="2:58" ht="15.75" customHeight="1">
      <c r="B50" s="45"/>
      <c r="C50" s="11"/>
      <c r="D50" s="11"/>
      <c r="E50" s="46"/>
      <c r="F50" s="23"/>
      <c r="G50" s="11"/>
      <c r="H50" s="41"/>
      <c r="I50" s="42"/>
      <c r="J50" s="426" t="s">
        <v>130</v>
      </c>
      <c r="K50" s="324">
        <f>SUM(K40:K49)</f>
        <v>9</v>
      </c>
      <c r="L50" s="294"/>
      <c r="M50" s="294"/>
      <c r="N50" s="294"/>
      <c r="O50" s="294"/>
      <c r="P50" s="12"/>
    </row>
    <row r="51" spans="2:58" ht="20.25" customHeight="1">
      <c r="B51" s="15" t="s">
        <v>42</v>
      </c>
      <c r="C51" s="1" t="s">
        <v>43</v>
      </c>
      <c r="D51" s="1"/>
      <c r="E51" s="1"/>
      <c r="I51" s="42"/>
      <c r="L51" s="294"/>
      <c r="P51" s="334"/>
    </row>
    <row r="52" spans="2:58" ht="15" customHeight="1" thickBo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/>
      <c r="O52" s="48"/>
      <c r="P52" s="49"/>
      <c r="X52" s="275" t="s">
        <v>41</v>
      </c>
    </row>
    <row r="53" spans="2:58" ht="15" customHeight="1" thickBot="1">
      <c r="B53" s="510" t="s">
        <v>17</v>
      </c>
      <c r="C53" s="510" t="s">
        <v>44</v>
      </c>
      <c r="D53" s="512" t="s">
        <v>45</v>
      </c>
      <c r="E53" s="467" t="s">
        <v>46</v>
      </c>
      <c r="F53" s="527" t="s">
        <v>47</v>
      </c>
      <c r="G53" s="521" t="s">
        <v>48</v>
      </c>
      <c r="H53" s="510" t="s">
        <v>49</v>
      </c>
      <c r="I53" s="510" t="s">
        <v>50</v>
      </c>
      <c r="J53" s="515" t="s">
        <v>28</v>
      </c>
      <c r="K53" s="465" t="s">
        <v>51</v>
      </c>
      <c r="L53" s="477" t="s">
        <v>52</v>
      </c>
      <c r="M53" s="515" t="s">
        <v>53</v>
      </c>
      <c r="N53" s="77"/>
      <c r="O53" s="13"/>
      <c r="P53" s="50"/>
    </row>
    <row r="54" spans="2:58" ht="28.5" customHeight="1" thickTop="1" thickBot="1">
      <c r="B54" s="511"/>
      <c r="C54" s="511"/>
      <c r="D54" s="513"/>
      <c r="E54" s="514"/>
      <c r="F54" s="528"/>
      <c r="G54" s="522"/>
      <c r="H54" s="511"/>
      <c r="I54" s="511"/>
      <c r="J54" s="516"/>
      <c r="K54" s="525"/>
      <c r="L54" s="526"/>
      <c r="M54" s="516"/>
      <c r="N54" s="77"/>
      <c r="O54" s="13"/>
      <c r="P54" s="50"/>
      <c r="Q54" s="355"/>
      <c r="R54" s="355"/>
      <c r="S54" s="355"/>
      <c r="T54" s="355"/>
      <c r="U54" s="51">
        <v>43466</v>
      </c>
      <c r="V54" s="51">
        <v>43467</v>
      </c>
      <c r="W54" s="51">
        <v>43468</v>
      </c>
      <c r="X54" s="51">
        <v>43469</v>
      </c>
      <c r="Y54" s="51">
        <v>43470</v>
      </c>
      <c r="Z54" s="51">
        <v>43471</v>
      </c>
      <c r="AA54" s="51">
        <v>43472</v>
      </c>
      <c r="AB54" s="51">
        <v>43473</v>
      </c>
      <c r="AC54" s="51">
        <v>43474</v>
      </c>
      <c r="AD54" s="51">
        <v>43475</v>
      </c>
      <c r="AE54" s="51">
        <v>43476</v>
      </c>
      <c r="AF54" s="51">
        <v>43477</v>
      </c>
      <c r="AG54" s="51">
        <v>43478</v>
      </c>
      <c r="AH54" s="51">
        <v>43479</v>
      </c>
      <c r="AI54" s="51">
        <v>43480</v>
      </c>
      <c r="AJ54" s="51">
        <v>43481</v>
      </c>
      <c r="AK54" s="51">
        <v>43482</v>
      </c>
      <c r="AL54" s="51">
        <v>43483</v>
      </c>
      <c r="AM54" s="51">
        <v>43484</v>
      </c>
      <c r="AN54" s="51">
        <v>43485</v>
      </c>
      <c r="AO54" s="51">
        <v>43486</v>
      </c>
      <c r="AP54" s="51">
        <v>43487</v>
      </c>
      <c r="AQ54" s="51">
        <v>43488</v>
      </c>
      <c r="AR54" s="51">
        <v>43489</v>
      </c>
      <c r="AS54" s="51">
        <v>43490</v>
      </c>
      <c r="AT54" s="51">
        <v>43491</v>
      </c>
      <c r="AU54" s="51">
        <v>43492</v>
      </c>
      <c r="AV54" s="51">
        <v>43493</v>
      </c>
      <c r="AW54" s="51">
        <v>43494</v>
      </c>
      <c r="AX54" s="51">
        <v>43495</v>
      </c>
      <c r="AY54" s="51">
        <v>43496</v>
      </c>
    </row>
    <row r="55" spans="2:58" s="54" customFormat="1" ht="56.4" customHeight="1" thickBot="1">
      <c r="B55" s="439" t="str">
        <f>I28</f>
        <v>GUINNESS</v>
      </c>
      <c r="C55" s="283">
        <v>45721</v>
      </c>
      <c r="D55" s="377">
        <f>[31]March_2025!$H$23</f>
        <v>208.8</v>
      </c>
      <c r="E55" s="378"/>
      <c r="F55" s="379">
        <f>SUM([32]GUINNESS!$L$21:$L$22,[32]GUINNESS!$L$25:$L$26)</f>
        <v>200</v>
      </c>
      <c r="G55" s="303">
        <f>[31]March_2025!$H$28</f>
        <v>197.3</v>
      </c>
      <c r="H55" s="320">
        <f>(D55-F55)/D55*100</f>
        <v>4.2145593869731854</v>
      </c>
      <c r="I55" s="322">
        <f>((F55+E55)-G55)/(F55+E55)*100</f>
        <v>1.3499999999999943</v>
      </c>
      <c r="J55" s="390" t="s">
        <v>168</v>
      </c>
      <c r="K55" s="433">
        <f>[33]March_2025!$H$32</f>
        <v>0.98650000000000004</v>
      </c>
      <c r="L55" s="314">
        <f>(((D55+E55)-G55)/(D55+E55))*100</f>
        <v>5.5076628352490422</v>
      </c>
      <c r="M55" s="357" t="s">
        <v>166</v>
      </c>
      <c r="N55" s="13"/>
      <c r="O55" s="13"/>
      <c r="P55" s="50"/>
      <c r="T55" s="272" t="s">
        <v>54</v>
      </c>
      <c r="U55" s="279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9"/>
      <c r="AG55" s="279"/>
      <c r="AH55" s="279"/>
      <c r="AI55" s="279"/>
      <c r="AJ55" s="279"/>
      <c r="AK55" s="279"/>
      <c r="AL55" s="279"/>
      <c r="AM55" s="279"/>
      <c r="AN55" s="279"/>
      <c r="AO55" s="279"/>
      <c r="AP55" s="279"/>
      <c r="AQ55" s="279"/>
      <c r="AR55" s="279"/>
      <c r="AS55" s="279"/>
      <c r="AT55" s="279"/>
      <c r="AU55" s="279"/>
      <c r="AV55" s="279"/>
      <c r="AW55" s="279"/>
      <c r="AX55" s="279"/>
    </row>
    <row r="56" spans="2:58" s="54" customFormat="1" ht="18.75" customHeight="1" thickBot="1">
      <c r="B56" s="387"/>
      <c r="C56" s="283"/>
      <c r="D56" s="279"/>
      <c r="E56" s="279"/>
      <c r="F56" s="279"/>
      <c r="G56" s="279"/>
      <c r="H56" s="320"/>
      <c r="I56" s="322"/>
      <c r="J56" s="389"/>
      <c r="K56" s="434"/>
      <c r="L56" s="314"/>
      <c r="M56" s="384"/>
      <c r="N56" s="13"/>
      <c r="O56" s="13"/>
      <c r="P56" s="50"/>
      <c r="T56" s="272" t="s">
        <v>51</v>
      </c>
      <c r="U56" s="57" t="e">
        <f>[20]January_2019!D8</f>
        <v>#DIV/0!</v>
      </c>
      <c r="V56" s="57">
        <f>[20]January_2019!E8</f>
        <v>1.0319298245614037</v>
      </c>
      <c r="W56" s="57">
        <f>[20]January_2019!F8</f>
        <v>1.7789473684210526</v>
      </c>
      <c r="X56" s="57">
        <f>[20]January_2019!G8</f>
        <v>0.51929824561403504</v>
      </c>
      <c r="Y56" s="57" t="e">
        <f>[20]January_2019!H8</f>
        <v>#DIV/0!</v>
      </c>
      <c r="Z56" s="57" t="e">
        <f>[20]January_2019!I8</f>
        <v>#DIV/0!</v>
      </c>
      <c r="AA56" s="57">
        <f>[20]January_2019!J8</f>
        <v>1.365263157894737</v>
      </c>
      <c r="AB56" s="57" t="e">
        <f>[20]January_2019!K8</f>
        <v>#DIV/0!</v>
      </c>
      <c r="AC56" s="57">
        <f>[20]January_2019!L8</f>
        <v>1.0028070175438597</v>
      </c>
      <c r="AD56" s="57">
        <f>[20]January_2019!M8</f>
        <v>1.7828070175438597</v>
      </c>
      <c r="AE56" s="57" t="e">
        <f>[20]January_2019!N8</f>
        <v>#DIV/0!</v>
      </c>
      <c r="AF56" s="57" t="e">
        <f>[20]January_2019!O8</f>
        <v>#DIV/0!</v>
      </c>
      <c r="AG56" s="57">
        <f>[20]January_2019!P8</f>
        <v>0.19222222222222221</v>
      </c>
      <c r="AH56" s="57">
        <f>[20]January_2019!Q8</f>
        <v>0.52219298245614032</v>
      </c>
      <c r="AI56" s="57">
        <f>[20]January_2019!R8</f>
        <v>0.42912280701754385</v>
      </c>
      <c r="AJ56" s="57" t="e">
        <f>[20]January_2019!S8</f>
        <v>#DIV/0!</v>
      </c>
      <c r="AK56" s="57">
        <f>[20]January_2019!T8</f>
        <v>1.0340350877192983</v>
      </c>
      <c r="AL56" s="57">
        <f>[20]January_2019!U8</f>
        <v>0.98421052631578942</v>
      </c>
      <c r="AM56" s="57" t="e">
        <f>[20]January_2019!V8</f>
        <v>#DIV/0!</v>
      </c>
      <c r="AN56" s="57" t="e">
        <f>[20]January_2019!W8</f>
        <v>#DIV/0!</v>
      </c>
      <c r="AO56" s="57">
        <f>[20]January_2019!X8</f>
        <v>0.66052631578947374</v>
      </c>
      <c r="AP56" s="57">
        <f>[20]January_2019!Y8</f>
        <v>1.0375438596491227</v>
      </c>
      <c r="AQ56" s="57">
        <f>[20]January_2019!Z8</f>
        <v>0.90456140350877201</v>
      </c>
      <c r="AR56" s="57">
        <f>[20]January_2019!AA8</f>
        <v>1.0217543859649123</v>
      </c>
      <c r="AS56" s="57">
        <f>[20]January_2019!AB8</f>
        <v>0.65614035087719302</v>
      </c>
      <c r="AT56" s="57" t="e">
        <f>[20]January_2019!AC8</f>
        <v>#DIV/0!</v>
      </c>
      <c r="AU56" s="57" t="e">
        <f>[20]January_2019!AD8</f>
        <v>#DIV/0!</v>
      </c>
      <c r="AV56" s="57">
        <f>[20]January_2019!AE8</f>
        <v>1.7021052631578948</v>
      </c>
      <c r="AW56" s="57">
        <f>[20]January_2019!AF8</f>
        <v>0.60192982456140354</v>
      </c>
      <c r="AX56" s="57">
        <f>[20]January_2019!AG8</f>
        <v>1.4870175438596491</v>
      </c>
      <c r="AY56" s="277" t="e">
        <f>[20]January_2019!AH8</f>
        <v>#DIV/0!</v>
      </c>
      <c r="AZ56" s="277"/>
      <c r="BA56" s="277"/>
      <c r="BB56" s="277"/>
      <c r="BC56" s="277"/>
      <c r="BD56" s="277"/>
      <c r="BE56" s="277"/>
      <c r="BF56" s="277"/>
    </row>
    <row r="57" spans="2:58" s="54" customFormat="1" ht="42" customHeight="1" thickBot="1">
      <c r="B57" s="440" t="str">
        <f>J44</f>
        <v>STARMALT</v>
      </c>
      <c r="C57" s="283">
        <v>45721</v>
      </c>
      <c r="D57" s="279">
        <f>[31]March_2025!$H$55</f>
        <v>202.10000000000002</v>
      </c>
      <c r="E57" s="279"/>
      <c r="F57" s="279"/>
      <c r="G57" s="279">
        <f>[31]March_2025!$H$59</f>
        <v>195.6</v>
      </c>
      <c r="H57" s="320"/>
      <c r="I57" s="322"/>
      <c r="J57" s="390" t="s">
        <v>168</v>
      </c>
      <c r="K57" s="436">
        <f>[33]March_2025!$H$53</f>
        <v>0.97799999999999998</v>
      </c>
      <c r="L57" s="314">
        <f t="shared" ref="L57" si="9">(((D57+E57)-G57)/(D57+E57))*100</f>
        <v>3.2162295893122352</v>
      </c>
      <c r="M57" s="357" t="s">
        <v>167</v>
      </c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s="54" customFormat="1" ht="14.4" thickBot="1">
      <c r="B58" s="361"/>
      <c r="C58" s="283"/>
      <c r="D58" s="304"/>
      <c r="E58" s="279"/>
      <c r="F58" s="279"/>
      <c r="G58" s="279"/>
      <c r="H58" s="381"/>
      <c r="I58" s="382"/>
      <c r="J58" s="432"/>
      <c r="K58" s="376"/>
      <c r="L58" s="314"/>
      <c r="M58" s="354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s="54" customFormat="1" ht="45.75" hidden="1" customHeight="1" thickBot="1">
      <c r="B59" s="427"/>
      <c r="C59" s="283"/>
      <c r="D59" s="279"/>
      <c r="E59" s="279"/>
      <c r="F59" s="279"/>
      <c r="G59" s="279"/>
      <c r="H59" s="320"/>
      <c r="I59" s="322"/>
      <c r="J59" s="432"/>
      <c r="K59" s="286"/>
      <c r="L59" s="314"/>
      <c r="M59" s="384"/>
      <c r="N59" s="13"/>
      <c r="O59" s="13"/>
      <c r="P59" s="50"/>
      <c r="T59" s="272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277"/>
      <c r="AZ59" s="277"/>
      <c r="BA59" s="277"/>
      <c r="BB59" s="277"/>
      <c r="BC59" s="277"/>
      <c r="BD59" s="277"/>
      <c r="BE59" s="277"/>
      <c r="BF59" s="277"/>
    </row>
    <row r="60" spans="2:58" ht="11.4" hidden="1" customHeight="1" thickBot="1">
      <c r="B60" s="33"/>
      <c r="C60" s="310"/>
      <c r="D60" s="279"/>
      <c r="E60" s="279"/>
      <c r="F60" s="279"/>
      <c r="G60" s="279"/>
      <c r="H60" s="352"/>
      <c r="I60" s="353"/>
      <c r="J60" s="281"/>
      <c r="K60" s="52"/>
      <c r="L60" s="53"/>
      <c r="M60" s="55"/>
      <c r="N60" s="77"/>
      <c r="O60" s="13"/>
      <c r="P60" s="56"/>
    </row>
    <row r="61" spans="2:58" ht="14.4" thickBot="1">
      <c r="B61" s="58"/>
      <c r="C61" s="309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9"/>
      <c r="O61" s="56"/>
      <c r="P61" s="60"/>
    </row>
    <row r="62" spans="2:58" ht="14.4" thickBot="1">
      <c r="B62" s="517" t="s">
        <v>55</v>
      </c>
      <c r="C62" s="518"/>
      <c r="D62" s="518"/>
      <c r="E62" s="518"/>
      <c r="F62" s="519"/>
      <c r="G62" s="517" t="s">
        <v>56</v>
      </c>
      <c r="H62" s="518"/>
      <c r="I62" s="518"/>
      <c r="J62" s="519"/>
      <c r="K62" s="517" t="s">
        <v>51</v>
      </c>
      <c r="L62" s="518"/>
      <c r="M62" s="518"/>
      <c r="N62" s="520"/>
      <c r="O62" s="56"/>
      <c r="P62" s="50"/>
    </row>
    <row r="63" spans="2:58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8">
      <c r="B64" s="29" t="s">
        <v>6</v>
      </c>
      <c r="C64" s="65"/>
      <c r="D64" s="76">
        <v>7.679054885552544</v>
      </c>
      <c r="E64" s="76">
        <v>7.0356103080463335</v>
      </c>
      <c r="F64" s="66">
        <v>4.8</v>
      </c>
      <c r="G64" s="65"/>
      <c r="H64" s="76">
        <v>7.381724949596177</v>
      </c>
      <c r="I64" s="76">
        <v>7.4474791966380929</v>
      </c>
      <c r="J64" s="66">
        <v>4.8</v>
      </c>
      <c r="K64" s="67"/>
      <c r="L64" s="194">
        <v>0.93775000000000008</v>
      </c>
      <c r="M64" s="194">
        <v>0.84308880137426323</v>
      </c>
      <c r="N64" s="68">
        <v>1</v>
      </c>
      <c r="O64" s="56"/>
      <c r="P64" s="69"/>
    </row>
    <row r="65" spans="2:16">
      <c r="B65" s="33" t="s">
        <v>9</v>
      </c>
      <c r="C65" s="65"/>
      <c r="D65" s="76"/>
      <c r="E65" s="76">
        <v>6.7094493445838745</v>
      </c>
      <c r="F65" s="66">
        <v>4.8</v>
      </c>
      <c r="G65" s="65"/>
      <c r="H65" s="76"/>
      <c r="I65" s="76">
        <v>6.9224235081969541</v>
      </c>
      <c r="J65" s="66">
        <v>4.8</v>
      </c>
      <c r="K65" s="67"/>
      <c r="L65" s="194"/>
      <c r="M65" s="194">
        <v>0.70847053742306432</v>
      </c>
      <c r="N65" s="68">
        <v>1</v>
      </c>
      <c r="P65" s="69"/>
    </row>
    <row r="66" spans="2:16">
      <c r="B66" s="34" t="s">
        <v>40</v>
      </c>
      <c r="C66" s="65">
        <f>L55</f>
        <v>5.5076628352490422</v>
      </c>
      <c r="D66" s="76">
        <v>7.5445173383317687</v>
      </c>
      <c r="E66" s="76">
        <v>12.682396771189062</v>
      </c>
      <c r="F66" s="66">
        <v>5.5</v>
      </c>
      <c r="G66" s="65">
        <f>[31]March_2025!$H$32</f>
        <v>8.3720217865482667</v>
      </c>
      <c r="H66" s="76">
        <v>8.3720217865482667</v>
      </c>
      <c r="I66" s="76">
        <v>14.322773542755614</v>
      </c>
      <c r="J66" s="66">
        <v>5.5</v>
      </c>
      <c r="K66" s="67">
        <f>K55</f>
        <v>0.98650000000000004</v>
      </c>
      <c r="L66" s="194">
        <v>0.98650000000000004</v>
      </c>
      <c r="M66" s="194">
        <v>0.56862100456621001</v>
      </c>
      <c r="N66" s="68">
        <v>1</v>
      </c>
      <c r="P66" s="69"/>
    </row>
    <row r="67" spans="2:16">
      <c r="B67" s="22" t="s">
        <v>33</v>
      </c>
      <c r="C67" s="65"/>
      <c r="D67" s="76"/>
      <c r="E67" s="76">
        <v>3.9190537266638161</v>
      </c>
      <c r="F67" s="66">
        <v>3.3</v>
      </c>
      <c r="G67" s="65"/>
      <c r="H67" s="76"/>
      <c r="I67" s="76">
        <v>5.345661717473071</v>
      </c>
      <c r="J67" s="66">
        <v>3.3</v>
      </c>
      <c r="K67" s="67"/>
      <c r="L67" s="194"/>
      <c r="M67" s="194">
        <v>0.78853801169590654</v>
      </c>
      <c r="N67" s="68">
        <v>1</v>
      </c>
      <c r="P67" s="69"/>
    </row>
    <row r="68" spans="2:16">
      <c r="B68" s="35" t="s">
        <v>29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>
      <c r="B69" s="36" t="s">
        <v>15</v>
      </c>
      <c r="C69" s="282"/>
      <c r="D69" s="76"/>
      <c r="E69" s="76">
        <v>8.7664670658682695</v>
      </c>
      <c r="F69" s="70">
        <f>[21]May_2022!$M$43</f>
        <v>3.4878406700073312</v>
      </c>
      <c r="G69" s="282"/>
      <c r="H69" s="76"/>
      <c r="I69" s="76">
        <v>10.607235567685406</v>
      </c>
      <c r="J69" s="66">
        <v>5.5</v>
      </c>
      <c r="K69" s="67"/>
      <c r="L69" s="194"/>
      <c r="M69" s="194">
        <v>0.66824561403508764</v>
      </c>
      <c r="N69" s="68">
        <v>1</v>
      </c>
      <c r="P69" s="69"/>
    </row>
    <row r="70" spans="2:16">
      <c r="B70" s="37" t="s">
        <v>16</v>
      </c>
      <c r="C70" s="65">
        <f>L57</f>
        <v>3.2162295893122352</v>
      </c>
      <c r="D70" s="76">
        <v>3.2162295893122352</v>
      </c>
      <c r="E70" s="76">
        <v>2.483389608975052</v>
      </c>
      <c r="F70" s="66">
        <v>3.3</v>
      </c>
      <c r="G70" s="282">
        <f>[31]March_2025!$H$63</f>
        <v>5.2379580553094636</v>
      </c>
      <c r="H70" s="76">
        <v>5.2379580553094636</v>
      </c>
      <c r="I70" s="76">
        <v>4.7281120363135472</v>
      </c>
      <c r="J70" s="66">
        <v>3.3</v>
      </c>
      <c r="K70" s="67">
        <f>K57</f>
        <v>0.97799999999999998</v>
      </c>
      <c r="L70" s="194">
        <v>0.97799999999999998</v>
      </c>
      <c r="M70" s="194">
        <v>0.83672897196261686</v>
      </c>
      <c r="N70" s="71">
        <v>1</v>
      </c>
      <c r="P70" s="69"/>
    </row>
    <row r="71" spans="2:16" ht="14.4" thickBot="1">
      <c r="B71" s="38" t="s">
        <v>127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4.4" thickBot="1">
      <c r="B72" s="437" t="s">
        <v>165</v>
      </c>
      <c r="C72" s="65"/>
      <c r="D72" s="76"/>
      <c r="E72" s="76">
        <v>7.2436873696200363</v>
      </c>
      <c r="F72" s="66">
        <v>4.8</v>
      </c>
      <c r="G72" s="282"/>
      <c r="H72" s="76"/>
      <c r="I72" s="76">
        <v>6.2003723782925313</v>
      </c>
      <c r="J72" s="66">
        <v>4.8</v>
      </c>
      <c r="K72" s="67"/>
      <c r="L72" s="194"/>
      <c r="M72" s="194">
        <v>0.33859649122807017</v>
      </c>
      <c r="N72" s="71">
        <v>1</v>
      </c>
      <c r="O72" s="74"/>
      <c r="P72" s="75"/>
    </row>
    <row r="73" spans="2:16">
      <c r="D73" s="76">
        <v>6.5466050133852454</v>
      </c>
      <c r="E73" s="76">
        <v>7.0714311658887139</v>
      </c>
      <c r="F73" s="341">
        <v>4.5</v>
      </c>
      <c r="H73" s="76">
        <v>7.0653053250857338</v>
      </c>
      <c r="I73" s="76">
        <v>7.8692476184888172</v>
      </c>
      <c r="J73" s="341">
        <v>4.5</v>
      </c>
      <c r="L73" s="194">
        <v>0.96000000000000019</v>
      </c>
      <c r="M73" s="194">
        <v>0.76183374844333751</v>
      </c>
      <c r="N73" s="386">
        <v>1</v>
      </c>
    </row>
    <row r="77" spans="2:16">
      <c r="F77" s="315"/>
    </row>
    <row r="85" spans="30:30">
      <c r="AD85" s="275" t="s">
        <v>57</v>
      </c>
    </row>
  </sheetData>
  <mergeCells count="52">
    <mergeCell ref="M53:M54"/>
    <mergeCell ref="B62:F62"/>
    <mergeCell ref="G62:J62"/>
    <mergeCell ref="K62:N62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C5:D5"/>
    <mergeCell ref="M4:N4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Q8:Q9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T1:U1"/>
    <mergeCell ref="V1:W1"/>
    <mergeCell ref="X1:Y1"/>
    <mergeCell ref="Z1:AA1"/>
    <mergeCell ref="B2:O2"/>
  </mergeCells>
  <conditionalFormatting sqref="B48:B49">
    <cfRule type="cellIs" dxfId="2823" priority="165" operator="notBetween">
      <formula>#REF!</formula>
      <formula>#REF!</formula>
    </cfRule>
  </conditionalFormatting>
  <conditionalFormatting sqref="C52">
    <cfRule type="cellIs" dxfId="2822" priority="197" stopIfTrue="1" operator="greaterThan">
      <formula>100</formula>
    </cfRule>
    <cfRule type="cellIs" dxfId="2821" priority="196" stopIfTrue="1" operator="lessThan">
      <formula>96</formula>
    </cfRule>
  </conditionalFormatting>
  <conditionalFormatting sqref="C64">
    <cfRule type="cellIs" dxfId="2820" priority="92" stopIfTrue="1" operator="greaterThan">
      <formula>$F64</formula>
    </cfRule>
  </conditionalFormatting>
  <conditionalFormatting sqref="C64:C65">
    <cfRule type="cellIs" dxfId="2819" priority="93" stopIfTrue="1" operator="lessThanOrEqual">
      <formula>0</formula>
    </cfRule>
  </conditionalFormatting>
  <conditionalFormatting sqref="C65">
    <cfRule type="cellIs" dxfId="2818" priority="200" stopIfTrue="1" operator="greaterThan">
      <formula>$F64</formula>
    </cfRule>
  </conditionalFormatting>
  <conditionalFormatting sqref="C66:C68">
    <cfRule type="cellIs" dxfId="2817" priority="121" stopIfTrue="1" operator="greaterThan">
      <formula>$F66</formula>
    </cfRule>
  </conditionalFormatting>
  <conditionalFormatting sqref="C66:C69">
    <cfRule type="cellIs" dxfId="2816" priority="144" stopIfTrue="1" operator="lessThanOrEqual">
      <formula>0</formula>
    </cfRule>
  </conditionalFormatting>
  <conditionalFormatting sqref="C69">
    <cfRule type="cellIs" dxfId="2815" priority="143" stopIfTrue="1" operator="greaterThan">
      <formula>$J69</formula>
    </cfRule>
  </conditionalFormatting>
  <conditionalFormatting sqref="C75:C79">
    <cfRule type="cellIs" dxfId="2814" priority="188" stopIfTrue="1" operator="lessThanOrEqual">
      <formula>0</formula>
    </cfRule>
  </conditionalFormatting>
  <conditionalFormatting sqref="C76:C79">
    <cfRule type="cellIs" dxfId="2813" priority="187" stopIfTrue="1" operator="greaterThan">
      <formula>$F$75</formula>
    </cfRule>
  </conditionalFormatting>
  <conditionalFormatting sqref="C81">
    <cfRule type="cellIs" dxfId="2812" priority="190" stopIfTrue="1" operator="lessThanOrEqual">
      <formula>0</formula>
    </cfRule>
    <cfRule type="cellIs" dxfId="2811" priority="189" stopIfTrue="1" operator="greaterThan">
      <formula>$F$75</formula>
    </cfRule>
  </conditionalFormatting>
  <conditionalFormatting sqref="C75:D75 D77:D83">
    <cfRule type="cellIs" dxfId="2810" priority="182" stopIfTrue="1" operator="greaterThan">
      <formula>4.5</formula>
    </cfRule>
  </conditionalFormatting>
  <conditionalFormatting sqref="D48:D49">
    <cfRule type="cellIs" dxfId="2809" priority="166" operator="notBetween">
      <formula>#REF!</formula>
      <formula>#REF!</formula>
    </cfRule>
  </conditionalFormatting>
  <conditionalFormatting sqref="D64:D71">
    <cfRule type="cellIs" dxfId="2808" priority="155" stopIfTrue="1" operator="lessThanOrEqual">
      <formula>0</formula>
    </cfRule>
  </conditionalFormatting>
  <conditionalFormatting sqref="D72">
    <cfRule type="cellIs" dxfId="2807" priority="154" stopIfTrue="1" operator="lessThanOrEqual">
      <formula>0</formula>
    </cfRule>
  </conditionalFormatting>
  <conditionalFormatting sqref="D75 D77:D83">
    <cfRule type="cellIs" dxfId="2806" priority="183" stopIfTrue="1" operator="lessThanOrEqual">
      <formula>0</formula>
    </cfRule>
  </conditionalFormatting>
  <conditionalFormatting sqref="D76">
    <cfRule type="cellIs" dxfId="2805" priority="174" stopIfTrue="1" operator="greaterThan">
      <formula>$F$75</formula>
    </cfRule>
    <cfRule type="cellIs" dxfId="2804" priority="175" stopIfTrue="1" operator="lessThanOrEqual">
      <formula>0</formula>
    </cfRule>
  </conditionalFormatting>
  <conditionalFormatting sqref="D64:E73">
    <cfRule type="cellIs" dxfId="2803" priority="31" stopIfTrue="1" operator="greaterThan">
      <formula>$F64</formula>
    </cfRule>
  </conditionalFormatting>
  <conditionalFormatting sqref="D73:E73">
    <cfRule type="cellIs" dxfId="2802" priority="32" stopIfTrue="1" operator="lessThanOrEqual">
      <formula>0</formula>
    </cfRule>
  </conditionalFormatting>
  <conditionalFormatting sqref="E10:E23">
    <cfRule type="cellIs" dxfId="2801" priority="54" operator="lessThan">
      <formula>48</formula>
    </cfRule>
  </conditionalFormatting>
  <conditionalFormatting sqref="E52">
    <cfRule type="cellIs" dxfId="2800" priority="176" stopIfTrue="1" operator="lessThan">
      <formula>96.8</formula>
    </cfRule>
    <cfRule type="cellIs" dxfId="2799" priority="177" stopIfTrue="1" operator="greaterThan">
      <formula>100</formula>
    </cfRule>
  </conditionalFormatting>
  <conditionalFormatting sqref="E64:E72">
    <cfRule type="cellIs" dxfId="2798" priority="148" stopIfTrue="1" operator="lessThanOrEqual">
      <formula>0</formula>
    </cfRule>
  </conditionalFormatting>
  <conditionalFormatting sqref="E75:E83">
    <cfRule type="cellIs" dxfId="2797" priority="168" stopIfTrue="1" operator="greaterThan">
      <formula>4.5</formula>
    </cfRule>
    <cfRule type="cellIs" dxfId="2796" priority="169" stopIfTrue="1" operator="lessThanOrEqual">
      <formula>0</formula>
    </cfRule>
  </conditionalFormatting>
  <conditionalFormatting sqref="E51:F52">
    <cfRule type="cellIs" dxfId="2795" priority="179" stopIfTrue="1" operator="greaterThan">
      <formula>100</formula>
    </cfRule>
    <cfRule type="cellIs" dxfId="2794" priority="178" stopIfTrue="1" operator="lessThan">
      <formula>96.5</formula>
    </cfRule>
  </conditionalFormatting>
  <conditionalFormatting sqref="F10:F22">
    <cfRule type="cellIs" dxfId="2793" priority="56" operator="greaterThan">
      <formula>60</formula>
    </cfRule>
  </conditionalFormatting>
  <conditionalFormatting sqref="F23">
    <cfRule type="cellIs" dxfId="2792" priority="262" operator="greaterThan">
      <formula>$AA23</formula>
    </cfRule>
    <cfRule type="cellIs" dxfId="2791" priority="263" operator="greaterThan">
      <formula>$AA61</formula>
    </cfRule>
  </conditionalFormatting>
  <conditionalFormatting sqref="F52">
    <cfRule type="cellIs" dxfId="2790" priority="194" stopIfTrue="1" operator="lessThan">
      <formula>96.8</formula>
    </cfRule>
    <cfRule type="cellIs" dxfId="2789" priority="195" stopIfTrue="1" operator="greaterThan">
      <formula>100</formula>
    </cfRule>
  </conditionalFormatting>
  <conditionalFormatting sqref="F73">
    <cfRule type="cellIs" dxfId="2788" priority="150" stopIfTrue="1" operator="lessThanOrEqual">
      <formula>0</formula>
    </cfRule>
    <cfRule type="cellIs" dxfId="2787" priority="149" stopIfTrue="1" operator="greaterThan">
      <formula>$F73</formula>
    </cfRule>
  </conditionalFormatting>
  <conditionalFormatting sqref="G64:G65 C70:C72">
    <cfRule type="cellIs" dxfId="2786" priority="157" stopIfTrue="1" operator="lessThanOrEqual">
      <formula>0</formula>
    </cfRule>
    <cfRule type="cellIs" dxfId="2785" priority="156" stopIfTrue="1" operator="greaterThan">
      <formula>$F64</formula>
    </cfRule>
  </conditionalFormatting>
  <conditionalFormatting sqref="G64:G65">
    <cfRule type="cellIs" dxfId="2784" priority="100" stopIfTrue="1" operator="lessThanOrEqual">
      <formula>0</formula>
    </cfRule>
    <cfRule type="cellIs" dxfId="2783" priority="99" stopIfTrue="1" operator="greaterThan">
      <formula>$F64</formula>
    </cfRule>
  </conditionalFormatting>
  <conditionalFormatting sqref="G66">
    <cfRule type="cellIs" dxfId="2782" priority="199" stopIfTrue="1" operator="lessThanOrEqual">
      <formula>0</formula>
    </cfRule>
    <cfRule type="cellIs" dxfId="2781" priority="198" stopIfTrue="1" operator="greaterThan">
      <formula>$F65</formula>
    </cfRule>
  </conditionalFormatting>
  <conditionalFormatting sqref="G67">
    <cfRule type="cellIs" dxfId="2780" priority="151" stopIfTrue="1" operator="greaterThan">
      <formula>$F67</formula>
    </cfRule>
    <cfRule type="cellIs" dxfId="2779" priority="152" stopIfTrue="1" operator="lessThanOrEqual">
      <formula>0</formula>
    </cfRule>
  </conditionalFormatting>
  <conditionalFormatting sqref="G68:G72">
    <cfRule type="cellIs" dxfId="2778" priority="159" stopIfTrue="1" operator="lessThanOrEqual">
      <formula>0</formula>
    </cfRule>
    <cfRule type="cellIs" dxfId="2777" priority="158" stopIfTrue="1" operator="greaterThan">
      <formula>$J68</formula>
    </cfRule>
  </conditionalFormatting>
  <conditionalFormatting sqref="G77:G82 C80 C82">
    <cfRule type="cellIs" dxfId="2776" priority="192" stopIfTrue="1" operator="lessThanOrEqual">
      <formula>0</formula>
    </cfRule>
    <cfRule type="cellIs" dxfId="2775" priority="191" stopIfTrue="1" operator="greaterThan">
      <formula>4.5</formula>
    </cfRule>
  </conditionalFormatting>
  <conditionalFormatting sqref="G10:H23">
    <cfRule type="expression" dxfId="2774" priority="47">
      <formula>IF(+(IF(G10&lt;#REF!,0,IF(G10&gt;#REF!,0,1)))=0,1)</formula>
    </cfRule>
  </conditionalFormatting>
  <conditionalFormatting sqref="G76:H76">
    <cfRule type="cellIs" dxfId="2773" priority="172" stopIfTrue="1" operator="greaterThan">
      <formula>$F$75</formula>
    </cfRule>
    <cfRule type="cellIs" dxfId="2772" priority="173" stopIfTrue="1" operator="lessThanOrEqual">
      <formula>0</formula>
    </cfRule>
  </conditionalFormatting>
  <conditionalFormatting sqref="H27:H50 G38:G49">
    <cfRule type="cellIs" dxfId="2771" priority="170" stopIfTrue="1" operator="greaterThan">
      <formula>0</formula>
    </cfRule>
  </conditionalFormatting>
  <conditionalFormatting sqref="H55">
    <cfRule type="cellIs" dxfId="2770" priority="44" stopIfTrue="1" operator="lessThanOrEqual">
      <formula>0</formula>
    </cfRule>
    <cfRule type="cellIs" dxfId="2769" priority="43" stopIfTrue="1" operator="greaterThan">
      <formula>$F$37</formula>
    </cfRule>
    <cfRule type="cellIs" dxfId="2768" priority="35" stopIfTrue="1" operator="greaterThan">
      <formula>$F$34</formula>
    </cfRule>
    <cfRule type="cellIs" dxfId="2767" priority="34" stopIfTrue="1" operator="lessThanOrEqual">
      <formula>0</formula>
    </cfRule>
    <cfRule type="cellIs" dxfId="2766" priority="46" stopIfTrue="1" operator="lessThanOrEqual">
      <formula>0</formula>
    </cfRule>
    <cfRule type="cellIs" dxfId="2765" priority="45" stopIfTrue="1" operator="greaterThan">
      <formula>$F$35</formula>
    </cfRule>
  </conditionalFormatting>
  <conditionalFormatting sqref="H56">
    <cfRule type="cellIs" dxfId="2764" priority="120" stopIfTrue="1" operator="lessThanOrEqual">
      <formula>0</formula>
    </cfRule>
    <cfRule type="cellIs" dxfId="2763" priority="109" stopIfTrue="1" operator="greaterThan">
      <formula>$F$63</formula>
    </cfRule>
    <cfRule type="cellIs" dxfId="2762" priority="117" stopIfTrue="1" operator="greaterThan">
      <formula>$F$66</formula>
    </cfRule>
    <cfRule type="cellIs" dxfId="2761" priority="108" stopIfTrue="1" operator="lessThanOrEqual">
      <formula>0</formula>
    </cfRule>
    <cfRule type="cellIs" dxfId="2760" priority="118" stopIfTrue="1" operator="lessThanOrEqual">
      <formula>0</formula>
    </cfRule>
    <cfRule type="cellIs" dxfId="2759" priority="119" stopIfTrue="1" operator="greaterThan">
      <formula>$F$64</formula>
    </cfRule>
  </conditionalFormatting>
  <conditionalFormatting sqref="H57">
    <cfRule type="cellIs" dxfId="2758" priority="5" stopIfTrue="1" operator="greaterThan">
      <formula>$F$34</formula>
    </cfRule>
    <cfRule type="cellIs" dxfId="2757" priority="4" stopIfTrue="1" operator="lessThanOrEqual">
      <formula>0</formula>
    </cfRule>
    <cfRule type="cellIs" dxfId="2756" priority="16" stopIfTrue="1" operator="lessThanOrEqual">
      <formula>0</formula>
    </cfRule>
    <cfRule type="cellIs" dxfId="2755" priority="15" stopIfTrue="1" operator="greaterThan">
      <formula>$F$35</formula>
    </cfRule>
    <cfRule type="cellIs" dxfId="2754" priority="14" stopIfTrue="1" operator="lessThanOrEqual">
      <formula>0</formula>
    </cfRule>
    <cfRule type="cellIs" dxfId="2753" priority="13" stopIfTrue="1" operator="greaterThan">
      <formula>$F$37</formula>
    </cfRule>
  </conditionalFormatting>
  <conditionalFormatting sqref="H58">
    <cfRule type="cellIs" dxfId="2752" priority="90" stopIfTrue="1" operator="lessThanOrEqual">
      <formula>0</formula>
    </cfRule>
    <cfRule type="cellIs" dxfId="2751" priority="80" stopIfTrue="1" operator="lessThanOrEqual">
      <formula>0</formula>
    </cfRule>
    <cfRule type="cellIs" dxfId="2750" priority="81" stopIfTrue="1" operator="greaterThan">
      <formula>#REF!</formula>
    </cfRule>
    <cfRule type="cellIs" dxfId="2749" priority="89" stopIfTrue="1" operator="greaterThan">
      <formula>#REF!</formula>
    </cfRule>
  </conditionalFormatting>
  <conditionalFormatting sqref="H59">
    <cfRule type="cellIs" dxfId="2748" priority="129" stopIfTrue="1" operator="greaterThan">
      <formula>$F$64</formula>
    </cfRule>
    <cfRule type="cellIs" dxfId="2747" priority="137" stopIfTrue="1" operator="greaterThan">
      <formula>$F$67</formula>
    </cfRule>
    <cfRule type="cellIs" dxfId="2746" priority="138" stopIfTrue="1" operator="lessThanOrEqual">
      <formula>0</formula>
    </cfRule>
    <cfRule type="cellIs" dxfId="2745" priority="139" stopIfTrue="1" operator="greaterThan">
      <formula>$F$65</formula>
    </cfRule>
    <cfRule type="cellIs" dxfId="2744" priority="103" stopIfTrue="1" operator="lessThanOrEqual">
      <formula>0</formula>
    </cfRule>
    <cfRule type="cellIs" dxfId="2743" priority="140" stopIfTrue="1" operator="lessThanOrEqual">
      <formula>0</formula>
    </cfRule>
  </conditionalFormatting>
  <conditionalFormatting sqref="H60">
    <cfRule type="cellIs" dxfId="2742" priority="164" stopIfTrue="1" operator="lessThanOrEqual">
      <formula>0</formula>
    </cfRule>
    <cfRule type="cellIs" dxfId="2741" priority="162" stopIfTrue="1" operator="lessThanOrEqual">
      <formula>0</formula>
    </cfRule>
    <cfRule type="cellIs" dxfId="2740" priority="163" stopIfTrue="1" operator="greaterThan">
      <formula>$F$58</formula>
    </cfRule>
    <cfRule type="cellIs" dxfId="2739" priority="161" stopIfTrue="1" operator="greaterThan">
      <formula>$F$61</formula>
    </cfRule>
  </conditionalFormatting>
  <conditionalFormatting sqref="H64:H71">
    <cfRule type="cellIs" dxfId="2738" priority="141" stopIfTrue="1" operator="greaterThan">
      <formula>$J64</formula>
    </cfRule>
    <cfRule type="cellIs" dxfId="2737" priority="142" stopIfTrue="1" operator="lessThanOrEqual">
      <formula>0</formula>
    </cfRule>
  </conditionalFormatting>
  <conditionalFormatting sqref="H72">
    <cfRule type="cellIs" dxfId="2736" priority="145" operator="greaterThan">
      <formula>5.3</formula>
    </cfRule>
  </conditionalFormatting>
  <conditionalFormatting sqref="H75 H77:H83">
    <cfRule type="cellIs" dxfId="2735" priority="184" stopIfTrue="1" operator="greaterThan">
      <formula>4.5</formula>
    </cfRule>
    <cfRule type="cellIs" dxfId="2734" priority="185" stopIfTrue="1" operator="lessThanOrEqual">
      <formula>0</formula>
    </cfRule>
  </conditionalFormatting>
  <conditionalFormatting sqref="H55:I55">
    <cfRule type="cellIs" dxfId="2733" priority="33" stopIfTrue="1" operator="greaterThan">
      <formula>$F$36</formula>
    </cfRule>
    <cfRule type="cellIs" dxfId="2732" priority="36" stopIfTrue="1" operator="lessThanOrEqual">
      <formula>0</formula>
    </cfRule>
  </conditionalFormatting>
  <conditionalFormatting sqref="H56:I56">
    <cfRule type="cellIs" dxfId="2731" priority="110" stopIfTrue="1" operator="lessThanOrEqual">
      <formula>0</formula>
    </cfRule>
    <cfRule type="cellIs" dxfId="2730" priority="107" stopIfTrue="1" operator="greaterThan">
      <formula>$F$65</formula>
    </cfRule>
  </conditionalFormatting>
  <conditionalFormatting sqref="H57:I57">
    <cfRule type="cellIs" dxfId="2729" priority="3" stopIfTrue="1" operator="greaterThan">
      <formula>$F$36</formula>
    </cfRule>
    <cfRule type="cellIs" dxfId="2728" priority="6" stopIfTrue="1" operator="lessThanOrEqual">
      <formula>0</formula>
    </cfRule>
  </conditionalFormatting>
  <conditionalFormatting sqref="H58:I58">
    <cfRule type="cellIs" dxfId="2727" priority="88" stopIfTrue="1" operator="lessThanOrEqual">
      <formula>0</formula>
    </cfRule>
    <cfRule type="cellIs" dxfId="2726" priority="79" stopIfTrue="1" operator="greaterThan">
      <formula>#REF!</formula>
    </cfRule>
    <cfRule type="cellIs" dxfId="2725" priority="85" stopIfTrue="1" operator="greaterThan">
      <formula>#REF!</formula>
    </cfRule>
    <cfRule type="cellIs" dxfId="2724" priority="82" stopIfTrue="1" operator="lessThanOrEqual">
      <formula>0</formula>
    </cfRule>
  </conditionalFormatting>
  <conditionalFormatting sqref="H59:I59">
    <cfRule type="cellIs" dxfId="2723" priority="101" stopIfTrue="1" operator="greaterThan">
      <formula>$F$66</formula>
    </cfRule>
    <cfRule type="cellIs" dxfId="2722" priority="130" stopIfTrue="1" operator="lessThanOrEqual">
      <formula>0</formula>
    </cfRule>
  </conditionalFormatting>
  <conditionalFormatting sqref="H73:I73">
    <cfRule type="cellIs" dxfId="2721" priority="29" stopIfTrue="1" operator="greaterThan">
      <formula>$J73</formula>
    </cfRule>
    <cfRule type="cellIs" dxfId="2720" priority="30" stopIfTrue="1" operator="lessThanOrEqual">
      <formula>0</formula>
    </cfRule>
  </conditionalFormatting>
  <conditionalFormatting sqref="I23">
    <cfRule type="cellIs" dxfId="2719" priority="94" operator="lessThan">
      <formula>97.8</formula>
    </cfRule>
    <cfRule type="cellIs" dxfId="2718" priority="97" operator="lessThan">
      <formula>98</formula>
    </cfRule>
  </conditionalFormatting>
  <conditionalFormatting sqref="I55">
    <cfRule type="cellIs" dxfId="2717" priority="41" stopIfTrue="1" operator="greaterThan">
      <formula>$F$34</formula>
    </cfRule>
    <cfRule type="cellIs" dxfId="2716" priority="40" stopIfTrue="1" operator="lessThanOrEqual">
      <formula>0</formula>
    </cfRule>
    <cfRule type="cellIs" dxfId="2715" priority="39" stopIfTrue="1" operator="greaterThan">
      <formula>$F$36</formula>
    </cfRule>
    <cfRule type="cellIs" dxfId="2714" priority="38" stopIfTrue="1" operator="lessThanOrEqual">
      <formula>0</formula>
    </cfRule>
    <cfRule type="cellIs" dxfId="2713" priority="37" stopIfTrue="1" operator="greaterThan">
      <formula>$F$34</formula>
    </cfRule>
    <cfRule type="cellIs" dxfId="2712" priority="42" stopIfTrue="1" operator="lessThanOrEqual">
      <formula>0</formula>
    </cfRule>
  </conditionalFormatting>
  <conditionalFormatting sqref="I56">
    <cfRule type="cellIs" dxfId="2711" priority="111" stopIfTrue="1" operator="greaterThan">
      <formula>$F$63</formula>
    </cfRule>
    <cfRule type="cellIs" dxfId="2710" priority="113" stopIfTrue="1" operator="greaterThan">
      <formula>$F$65</formula>
    </cfRule>
    <cfRule type="cellIs" dxfId="2709" priority="115" stopIfTrue="1" operator="greaterThan">
      <formula>$F$63</formula>
    </cfRule>
    <cfRule type="cellIs" dxfId="2708" priority="112" stopIfTrue="1" operator="lessThanOrEqual">
      <formula>0</formula>
    </cfRule>
    <cfRule type="cellIs" dxfId="2707" priority="114" stopIfTrue="1" operator="lessThanOrEqual">
      <formula>0</formula>
    </cfRule>
    <cfRule type="cellIs" dxfId="2706" priority="116" stopIfTrue="1" operator="lessThanOrEqual">
      <formula>0</formula>
    </cfRule>
  </conditionalFormatting>
  <conditionalFormatting sqref="I57">
    <cfRule type="cellIs" dxfId="2705" priority="11" stopIfTrue="1" operator="greaterThan">
      <formula>$F$34</formula>
    </cfRule>
    <cfRule type="cellIs" dxfId="2704" priority="12" stopIfTrue="1" operator="lessThanOrEqual">
      <formula>0</formula>
    </cfRule>
    <cfRule type="cellIs" dxfId="2703" priority="7" stopIfTrue="1" operator="greaterThan">
      <formula>$F$34</formula>
    </cfRule>
    <cfRule type="cellIs" dxfId="2702" priority="8" stopIfTrue="1" operator="lessThanOrEqual">
      <formula>0</formula>
    </cfRule>
    <cfRule type="cellIs" dxfId="2701" priority="9" stopIfTrue="1" operator="greaterThan">
      <formula>$F$36</formula>
    </cfRule>
    <cfRule type="cellIs" dxfId="2700" priority="10" stopIfTrue="1" operator="lessThanOrEqual">
      <formula>0</formula>
    </cfRule>
  </conditionalFormatting>
  <conditionalFormatting sqref="I58">
    <cfRule type="cellIs" dxfId="2699" priority="83" stopIfTrue="1" operator="greaterThan">
      <formula>#REF!</formula>
    </cfRule>
    <cfRule type="cellIs" dxfId="2698" priority="86" stopIfTrue="1" operator="lessThanOrEqual">
      <formula>0</formula>
    </cfRule>
    <cfRule type="cellIs" dxfId="2697" priority="84" stopIfTrue="1" operator="lessThanOrEqual">
      <formula>0</formula>
    </cfRule>
    <cfRule type="cellIs" dxfId="2696" priority="87" stopIfTrue="1" operator="greaterThan">
      <formula>#REF!</formula>
    </cfRule>
  </conditionalFormatting>
  <conditionalFormatting sqref="I59">
    <cfRule type="cellIs" dxfId="2695" priority="135" stopIfTrue="1" operator="greaterThan">
      <formula>$F$64</formula>
    </cfRule>
    <cfRule type="cellIs" dxfId="2694" priority="134" stopIfTrue="1" operator="lessThanOrEqual">
      <formula>0</formula>
    </cfRule>
    <cfRule type="cellIs" dxfId="2693" priority="133" stopIfTrue="1" operator="greaterThan">
      <formula>$F$66</formula>
    </cfRule>
    <cfRule type="cellIs" dxfId="2692" priority="132" stopIfTrue="1" operator="lessThanOrEqual">
      <formula>0</formula>
    </cfRule>
    <cfRule type="cellIs" dxfId="2691" priority="131" stopIfTrue="1" operator="greaterThan">
      <formula>$F$64</formula>
    </cfRule>
    <cfRule type="cellIs" dxfId="2690" priority="136" stopIfTrue="1" operator="lessThanOrEqual">
      <formula>0</formula>
    </cfRule>
  </conditionalFormatting>
  <conditionalFormatting sqref="I64:I72">
    <cfRule type="cellIs" dxfId="2689" priority="147" stopIfTrue="1" operator="lessThanOrEqual">
      <formula>0</formula>
    </cfRule>
    <cfRule type="cellIs" dxfId="2688" priority="146" stopIfTrue="1" operator="greaterThan">
      <formula>$J64</formula>
    </cfRule>
  </conditionalFormatting>
  <conditionalFormatting sqref="I75:I83">
    <cfRule type="cellIs" dxfId="2687" priority="180" stopIfTrue="1" operator="greaterThan">
      <formula>4.5</formula>
    </cfRule>
    <cfRule type="cellIs" dxfId="2686" priority="181" stopIfTrue="1" operator="lessThanOrEqual">
      <formula>0</formula>
    </cfRule>
  </conditionalFormatting>
  <conditionalFormatting sqref="I10:J22">
    <cfRule type="cellIs" dxfId="2685" priority="57" operator="lessThan">
      <formula>97.9</formula>
    </cfRule>
  </conditionalFormatting>
  <conditionalFormatting sqref="J23">
    <cfRule type="cellIs" dxfId="2684" priority="96" operator="lessThan">
      <formula>97.4</formula>
    </cfRule>
    <cfRule type="cellIs" dxfId="2683" priority="95" operator="notBetween">
      <formula>98</formula>
      <formula>99.9</formula>
    </cfRule>
  </conditionalFormatting>
  <conditionalFormatting sqref="J26:J28">
    <cfRule type="cellIs" dxfId="2682" priority="124" operator="lessThan">
      <formula>98</formula>
    </cfRule>
    <cfRule type="cellIs" dxfId="2681" priority="123" stopIfTrue="1" operator="greaterThan">
      <formula>100</formula>
    </cfRule>
    <cfRule type="cellIs" dxfId="2680" priority="122" stopIfTrue="1" operator="lessThan">
      <formula>96.8</formula>
    </cfRule>
  </conditionalFormatting>
  <conditionalFormatting sqref="J26:J30">
    <cfRule type="cellIs" dxfId="2679" priority="98" operator="lessThan">
      <formula>97.4</formula>
    </cfRule>
  </conditionalFormatting>
  <conditionalFormatting sqref="J31">
    <cfRule type="cellIs" dxfId="2678" priority="125" operator="lessThan">
      <formula>98</formula>
    </cfRule>
  </conditionalFormatting>
  <conditionalFormatting sqref="J32:J34">
    <cfRule type="cellIs" dxfId="2677" priority="127" stopIfTrue="1" operator="greaterThan">
      <formula>100</formula>
    </cfRule>
    <cfRule type="cellIs" dxfId="2676" priority="126" stopIfTrue="1" operator="lessThan">
      <formula>96.8</formula>
    </cfRule>
  </conditionalFormatting>
  <conditionalFormatting sqref="J32:J35">
    <cfRule type="cellIs" dxfId="2675" priority="128" operator="lessThan">
      <formula>98</formula>
    </cfRule>
  </conditionalFormatting>
  <conditionalFormatting sqref="J73">
    <cfRule type="cellIs" dxfId="2674" priority="1" stopIfTrue="1" operator="greaterThan">
      <formula>$F73</formula>
    </cfRule>
    <cfRule type="cellIs" dxfId="2673" priority="2" stopIfTrue="1" operator="lessThanOrEqual">
      <formula>0</formula>
    </cfRule>
  </conditionalFormatting>
  <conditionalFormatting sqref="K10:K23">
    <cfRule type="cellIs" dxfId="2672" priority="51" operator="lessThan">
      <formula>4</formula>
    </cfRule>
    <cfRule type="cellIs" dxfId="2671" priority="50" operator="greaterThan">
      <formula>6</formula>
    </cfRule>
    <cfRule type="cellIs" dxfId="2670" priority="55" operator="greaterThan">
      <formula>6.4</formula>
    </cfRule>
  </conditionalFormatting>
  <conditionalFormatting sqref="K40:K49">
    <cfRule type="cellIs" dxfId="2669" priority="153" operator="notEqual">
      <formula>#REF!</formula>
    </cfRule>
  </conditionalFormatting>
  <conditionalFormatting sqref="K55:K60 K64:N72">
    <cfRule type="cellIs" dxfId="2668" priority="160" stopIfTrue="1" operator="lessThan">
      <formula>100%</formula>
    </cfRule>
  </conditionalFormatting>
  <conditionalFormatting sqref="K75:K80">
    <cfRule type="cellIs" dxfId="2667" priority="186" stopIfTrue="1" operator="lessThan">
      <formula>100%</formula>
    </cfRule>
  </conditionalFormatting>
  <conditionalFormatting sqref="K82:K83">
    <cfRule type="cellIs" dxfId="2666" priority="193" stopIfTrue="1" operator="lessThan">
      <formula>100%</formula>
    </cfRule>
  </conditionalFormatting>
  <conditionalFormatting sqref="L10:L23">
    <cfRule type="cellIs" dxfId="2665" priority="52" operator="between">
      <formula>61</formula>
      <formula>65</formula>
    </cfRule>
    <cfRule type="cellIs" dxfId="2664" priority="53" operator="greaterThan">
      <formula>65</formula>
    </cfRule>
  </conditionalFormatting>
  <conditionalFormatting sqref="L26:M37">
    <cfRule type="cellIs" dxfId="2663" priority="58" operator="lessThan">
      <formula>98</formula>
    </cfRule>
  </conditionalFormatting>
  <conditionalFormatting sqref="L41:N41">
    <cfRule type="cellIs" dxfId="2662" priority="104" operator="notEqual">
      <formula>#REF!</formula>
    </cfRule>
  </conditionalFormatting>
  <conditionalFormatting sqref="L73:N73">
    <cfRule type="cellIs" dxfId="2661" priority="28" stopIfTrue="1" operator="lessThan">
      <formula>100%</formula>
    </cfRule>
  </conditionalFormatting>
  <conditionalFormatting sqref="L75:N83">
    <cfRule type="cellIs" dxfId="2660" priority="171" stopIfTrue="1" operator="lessThan">
      <formula>100%</formula>
    </cfRule>
  </conditionalFormatting>
  <conditionalFormatting sqref="M10:M12 N13 M14:M23">
    <cfRule type="expression" dxfId="2659" priority="48">
      <formula>IF(+(IF(M10&lt;V10,0,IF(M10&gt;W10,0,1)))=0,1)</formula>
    </cfRule>
  </conditionalFormatting>
  <conditionalFormatting sqref="M13">
    <cfRule type="expression" dxfId="2658" priority="61">
      <formula>IF(+(IF(M13&lt;U13,0,IF(M13&gt;V13,0,1)))=0,1)</formula>
    </cfRule>
  </conditionalFormatting>
  <conditionalFormatting sqref="M6:N6">
    <cfRule type="cellIs" dxfId="2657" priority="106" operator="greaterThanOrEqual">
      <formula>19</formula>
    </cfRule>
    <cfRule type="cellIs" dxfId="2656" priority="105" operator="greaterThanOrEqual">
      <formula>15</formula>
    </cfRule>
  </conditionalFormatting>
  <conditionalFormatting sqref="N10:N12 N14:N23">
    <cfRule type="expression" dxfId="2655" priority="49">
      <formula>IF(+(IF(N10&lt;X10,0,IF(N10&gt;Y10,0,1)))=0,1)</formula>
    </cfRule>
  </conditionalFormatting>
  <conditionalFormatting sqref="N23">
    <cfRule type="expression" dxfId="2654" priority="204">
      <formula>IF(+(IF(N23&lt;X66,0,IF(N23&gt;Y66,0,1)))=0,1)</formula>
    </cfRule>
    <cfRule type="expression" dxfId="2653" priority="205">
      <formula>IF(+(IF(N23&lt;X61,0,IF(N23&gt;Y61,0,1)))=0,1)</formula>
    </cfRule>
  </conditionalFormatting>
  <conditionalFormatting sqref="P6">
    <cfRule type="cellIs" dxfId="2652" priority="167" operator="greaterThanOrEqual">
      <formula>19</formula>
    </cfRule>
  </conditionalFormatting>
  <dataValidations count="1">
    <dataValidation type="list" allowBlank="1" showInputMessage="1" showErrorMessage="1" sqref="S8 B23" xr:uid="{87204A27-E95A-4470-A6B5-752328B09A1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D806-BF84-4B86-AAB6-EFD3D075887F}">
  <sheetPr>
    <pageSetUpPr fitToPage="1"/>
  </sheetPr>
  <dimension ref="A1:BF84"/>
  <sheetViews>
    <sheetView topLeftCell="A30" zoomScale="80" zoomScaleNormal="80" workbookViewId="0">
      <selection activeCell="B13" sqref="B13:O13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44140625" style="275" bestFit="1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176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45723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169</v>
      </c>
      <c r="K6" s="404"/>
      <c r="L6" s="311" t="s">
        <v>14</v>
      </c>
      <c r="M6" s="340">
        <v>17</v>
      </c>
      <c r="N6" s="340">
        <v>13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[23]Brewhouse!$A268</f>
        <v>CA165</v>
      </c>
      <c r="D10" s="279">
        <f>[23]Brewhouse!$AF268</f>
        <v>52.3</v>
      </c>
      <c r="E10" s="279">
        <f>[23]Brewhouse!$AI268</f>
        <v>49.2</v>
      </c>
      <c r="F10" s="278">
        <f>[23]Brewhouse!$V268</f>
        <v>78</v>
      </c>
      <c r="G10" s="279">
        <f>[23]Brewhouse!$AG268</f>
        <v>12.3</v>
      </c>
      <c r="H10" s="396">
        <v>12.4</v>
      </c>
      <c r="I10" s="368">
        <f>[23]Brewhouse!$AU268</f>
        <v>101.93738806144394</v>
      </c>
      <c r="J10" s="368">
        <f>[23]Brewhouse!$AV268</f>
        <v>101.124866564314</v>
      </c>
      <c r="K10" s="281">
        <f>[23]Brewhouse!$Q268</f>
        <v>3.0451127819548955</v>
      </c>
      <c r="L10" s="276">
        <f>[23]Brewhouse!$P268</f>
        <v>63</v>
      </c>
      <c r="M10" s="397">
        <f>[23]Brewhouse!$U268-[23]Brewhouse!$T268</f>
        <v>0.13472222222222224</v>
      </c>
      <c r="N10" s="370">
        <f>[23]Brewhouse!$Z268</f>
        <v>0.30486111111111114</v>
      </c>
      <c r="O10" s="371" t="str">
        <f>[23]Brewhouse!$AX268</f>
        <v>K.Benjamin</v>
      </c>
      <c r="P10" s="441" t="s">
        <v>173</v>
      </c>
      <c r="Q10" s="347"/>
      <c r="S10" s="277" t="str">
        <f t="shared" ref="S10:S18" si="0">B10</f>
        <v>CARIB</v>
      </c>
      <c r="T10" s="296">
        <f t="shared" ref="T10:T18" si="1">VLOOKUP($B10,$S$3:$Y$9,2,FALSE)</f>
        <v>11.6</v>
      </c>
      <c r="U10" s="296">
        <f t="shared" ref="U10:U18" si="2">VLOOKUP($B10,$S$3:$Y$9,3,FALSE)</f>
        <v>12</v>
      </c>
      <c r="V10" s="297">
        <f t="shared" ref="V10:V18" si="3">VLOOKUP($B10,$S$3:$Y$9,4,FALSE)</f>
        <v>0</v>
      </c>
      <c r="W10" s="297">
        <f t="shared" ref="W10:W18" si="4">VLOOKUP($B10,$S$3:$Y$9,5,FALSE)</f>
        <v>0.118055555555556</v>
      </c>
      <c r="X10" s="297">
        <f t="shared" ref="X10:X18" si="5">VLOOKUP($B10,$S$3:$Y$9,6,FALSE)</f>
        <v>0.22569444444444445</v>
      </c>
      <c r="Y10" s="297">
        <f t="shared" ref="Y10:Y18" si="6">VLOOKUP($B10,$S$3:$Y$9,7,FALSE)</f>
        <v>0.2638888888888889</v>
      </c>
      <c r="Z10" s="297">
        <f t="shared" ref="Z10:Z18" si="7">VLOOKUP($B10,$S$3:$AA$9,8,FALSE)</f>
        <v>0</v>
      </c>
      <c r="AA10" s="296">
        <f t="shared" ref="AA10:AA18" si="8">VLOOKUP($B10,$S$3:$AA$9,9,FALSE)</f>
        <v>60</v>
      </c>
    </row>
    <row r="11" spans="2:30" ht="15.75" customHeight="1">
      <c r="B11" s="29" t="s">
        <v>6</v>
      </c>
      <c r="C11" s="366" t="str">
        <f>[23]Brewhouse!$A269</f>
        <v>CA166</v>
      </c>
      <c r="D11" s="279">
        <f>[23]Brewhouse!$AF269</f>
        <v>54.8</v>
      </c>
      <c r="E11" s="279">
        <f>[23]Brewhouse!$AI269</f>
        <v>51.7</v>
      </c>
      <c r="F11" s="278">
        <f>[23]Brewhouse!$V269</f>
        <v>98</v>
      </c>
      <c r="G11" s="279">
        <f>[23]Brewhouse!$AG269</f>
        <v>11.93</v>
      </c>
      <c r="H11" s="396">
        <v>11.9</v>
      </c>
      <c r="I11" s="368">
        <f>[23]Brewhouse!$AU269</f>
        <v>94.916087726339811</v>
      </c>
      <c r="J11" s="368">
        <f>[23]Brewhouse!$AV269</f>
        <v>94.159449215076037</v>
      </c>
      <c r="K11" s="281">
        <f>[23]Brewhouse!$Q269</f>
        <v>2.733812949640293</v>
      </c>
      <c r="L11" s="276">
        <f>[23]Brewhouse!$P269</f>
        <v>58</v>
      </c>
      <c r="M11" s="397">
        <f>[23]Brewhouse!$U269-[23]Brewhouse!$T269</f>
        <v>0.13263888888888886</v>
      </c>
      <c r="N11" s="370">
        <f>[23]Brewhouse!$Z269</f>
        <v>0.2895833333333333</v>
      </c>
      <c r="O11" s="371" t="str">
        <f>[23]Brewhouse!$AX269</f>
        <v>K.Benjamin</v>
      </c>
      <c r="P11" s="441" t="s">
        <v>174</v>
      </c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[23]Brewhouse!$A270</f>
        <v>CA167</v>
      </c>
      <c r="D12" s="279">
        <f>[23]Brewhouse!$AF270</f>
        <v>51.9</v>
      </c>
      <c r="E12" s="279">
        <f>[23]Brewhouse!$AI270</f>
        <v>49</v>
      </c>
      <c r="F12" s="278">
        <f>[23]Brewhouse!$V270</f>
        <v>57</v>
      </c>
      <c r="G12" s="279">
        <f>[23]Brewhouse!$AG270</f>
        <v>11.75</v>
      </c>
      <c r="H12" s="396">
        <v>11.6</v>
      </c>
      <c r="I12" s="368">
        <f>[23]Brewhouse!$AU270</f>
        <v>96.181647145113629</v>
      </c>
      <c r="J12" s="368">
        <f>[23]Brewhouse!$AV270</f>
        <v>95.44622050456698</v>
      </c>
      <c r="K12" s="281">
        <f>[23]Brewhouse!$Q270</f>
        <v>10.052724077328644</v>
      </c>
      <c r="L12" s="276">
        <f>[23]Brewhouse!$P270</f>
        <v>60</v>
      </c>
      <c r="M12" s="397">
        <f>[23]Brewhouse!$U270-[23]Brewhouse!$T270</f>
        <v>0.11666666666666659</v>
      </c>
      <c r="N12" s="370">
        <f>[23]Brewhouse!$Z270</f>
        <v>0.26180555555555551</v>
      </c>
      <c r="O12" s="371" t="str">
        <f>[23]Brewhouse!$AX270</f>
        <v>R.Regis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[23]Brewhouse!$A271</f>
        <v>CA168</v>
      </c>
      <c r="D13" s="279">
        <f>[23]Brewhouse!$AF271</f>
        <v>54.2</v>
      </c>
      <c r="E13" s="279">
        <f>[23]Brewhouse!$AI271</f>
        <v>50.6</v>
      </c>
      <c r="F13" s="278">
        <f>[23]Brewhouse!$V271</f>
        <v>61</v>
      </c>
      <c r="G13" s="279">
        <f>[23]Brewhouse!$AG271</f>
        <v>11.88</v>
      </c>
      <c r="H13" s="396">
        <v>11.9</v>
      </c>
      <c r="I13" s="368">
        <f>[23]Brewhouse!$AU271</f>
        <v>97.888884805156863</v>
      </c>
      <c r="J13" s="368">
        <f>[23]Brewhouse!$AV271</f>
        <v>99.441430773099043</v>
      </c>
      <c r="K13" s="281">
        <f>[23]Brewhouse!$Q271</f>
        <v>6.2745098039215739</v>
      </c>
      <c r="L13" s="276">
        <f>[23]Brewhouse!$P271</f>
        <v>60</v>
      </c>
      <c r="M13" s="397">
        <f>[23]Brewhouse!$U271-[23]Brewhouse!$T271</f>
        <v>0.10972222222222217</v>
      </c>
      <c r="N13" s="370">
        <f>[23]Brewhouse!$Z271</f>
        <v>0.25</v>
      </c>
      <c r="O13" s="371" t="str">
        <f>[23]Brewhouse!$AX271</f>
        <v>R.Regis</v>
      </c>
      <c r="P13" s="441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[23]Brewhouse!$A272</f>
        <v>CA169</v>
      </c>
      <c r="D14" s="279">
        <f>[23]Brewhouse!$AF272</f>
        <v>53</v>
      </c>
      <c r="E14" s="279">
        <f>[23]Brewhouse!$AI272</f>
        <v>49.5</v>
      </c>
      <c r="F14" s="278">
        <f>[23]Brewhouse!$V272</f>
        <v>61</v>
      </c>
      <c r="G14" s="279">
        <f>[23]Brewhouse!$AG272</f>
        <v>12</v>
      </c>
      <c r="H14" s="367"/>
      <c r="I14" s="368">
        <f>[23]Brewhouse!$AU272</f>
        <v>96.606945507027518</v>
      </c>
      <c r="J14" s="368">
        <f>[23]Brewhouse!$AV272</f>
        <v>98.139159547678673</v>
      </c>
      <c r="K14" s="281">
        <f>[23]Brewhouse!$Q272</f>
        <v>6.9750889679715335</v>
      </c>
      <c r="L14" s="276">
        <f>[23]Brewhouse!$P272</f>
        <v>60</v>
      </c>
      <c r="M14" s="397">
        <f>[23]Brewhouse!$U272-[23]Brewhouse!$T272</f>
        <v>0.10972222222222228</v>
      </c>
      <c r="N14" s="370">
        <f>[23]Brewhouse!$Z272</f>
        <v>0.25138888888888888</v>
      </c>
      <c r="O14" s="371" t="str">
        <f>[23]Brewhouse!$AX272</f>
        <v>R.Sookram</v>
      </c>
      <c r="P14" s="441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[23]Brewhouse!$A273</f>
        <v>CA170</v>
      </c>
      <c r="D15" s="279">
        <f>[23]Brewhouse!$AF273</f>
        <v>53.8</v>
      </c>
      <c r="E15" s="279">
        <f>[23]Brewhouse!$AI273</f>
        <v>50</v>
      </c>
      <c r="F15" s="278">
        <f>[23]Brewhouse!$V273</f>
        <v>61</v>
      </c>
      <c r="G15" s="279">
        <f>[23]Brewhouse!$AG273</f>
        <v>12.3</v>
      </c>
      <c r="H15" s="367"/>
      <c r="I15" s="368">
        <f>[23]Brewhouse!$AU273</f>
        <v>100.84824136478873</v>
      </c>
      <c r="J15" s="368">
        <f>[23]Brewhouse!$AV273</f>
        <v>102.5157991082522</v>
      </c>
      <c r="K15" s="281">
        <f>[23]Brewhouse!$Q273</f>
        <v>6.0962566844919817</v>
      </c>
      <c r="L15" s="276">
        <f>[23]Brewhouse!$P273</f>
        <v>57</v>
      </c>
      <c r="M15" s="397">
        <f>[23]Brewhouse!$U273-[23]Brewhouse!$T273</f>
        <v>0.11458333333333326</v>
      </c>
      <c r="N15" s="370">
        <f>[23]Brewhouse!$Z273</f>
        <v>0.25902777777777775</v>
      </c>
      <c r="O15" s="371" t="str">
        <f>[23]Brewhouse!$AX273</f>
        <v>R.Sookram</v>
      </c>
      <c r="P15" s="441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 t="s">
        <v>6</v>
      </c>
      <c r="C16" s="366" t="str">
        <f>[23]Brewhouse!$A274</f>
        <v>CA171</v>
      </c>
      <c r="D16" s="279">
        <f>[23]Brewhouse!$AF274</f>
        <v>52.7</v>
      </c>
      <c r="E16" s="279">
        <f>[23]Brewhouse!$AI274</f>
        <v>49.1</v>
      </c>
      <c r="F16" s="278">
        <f>[23]Brewhouse!$V274</f>
        <v>73</v>
      </c>
      <c r="G16" s="279">
        <f>[23]Brewhouse!$AG274</f>
        <v>11.98</v>
      </c>
      <c r="H16" s="367"/>
      <c r="I16" s="368">
        <f>[23]Brewhouse!$AU274</f>
        <v>96.736277075978393</v>
      </c>
      <c r="J16" s="368">
        <f>[23]Brewhouse!$AV274</f>
        <v>98.335668146899948</v>
      </c>
      <c r="K16" s="281">
        <f>[23]Brewhouse!$Q274</f>
        <v>5.8333333333333304</v>
      </c>
      <c r="L16" s="276">
        <f>[23]Brewhouse!$P274</f>
        <v>58</v>
      </c>
      <c r="M16" s="397">
        <f>[23]Brewhouse!$U274-[23]Brewhouse!$T274</f>
        <v>0.11597222222222237</v>
      </c>
      <c r="N16" s="370">
        <f>[23]Brewhouse!$Z274</f>
        <v>0.26805555555555571</v>
      </c>
      <c r="O16" s="371" t="str">
        <f>[23]Brewhouse!$AX274</f>
        <v>R.Sookram</v>
      </c>
      <c r="P16" s="441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41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ref="S19:S23" si="9">B19</f>
        <v>0</v>
      </c>
      <c r="T19" s="296" t="e">
        <f t="shared" ref="T19:T23" si="10">VLOOKUP($B19,$S$3:$Y$9,2,FALSE)</f>
        <v>#N/A</v>
      </c>
      <c r="U19" s="296" t="e">
        <f t="shared" ref="U19:U23" si="11">VLOOKUP($B19,$S$3:$Y$9,3,FALSE)</f>
        <v>#N/A</v>
      </c>
      <c r="V19" s="297" t="e">
        <f t="shared" ref="V19:V23" si="12">VLOOKUP($B19,$S$3:$Y$9,4,FALSE)</f>
        <v>#N/A</v>
      </c>
      <c r="W19" s="297" t="e">
        <f t="shared" ref="W19:W23" si="13">VLOOKUP($B19,$S$3:$Y$9,5,FALSE)</f>
        <v>#N/A</v>
      </c>
      <c r="X19" s="297" t="e">
        <f t="shared" ref="X19:X23" si="14">VLOOKUP($B19,$S$3:$Y$9,6,FALSE)</f>
        <v>#N/A</v>
      </c>
      <c r="Y19" s="297" t="e">
        <f t="shared" ref="Y19:Y23" si="15">VLOOKUP($B19,$S$3:$Y$9,7,FALSE)</f>
        <v>#N/A</v>
      </c>
      <c r="Z19" s="297" t="e">
        <f t="shared" ref="Z19:Z23" si="16">VLOOKUP($B19,$S$3:$AA$9,8,FALSE)</f>
        <v>#N/A</v>
      </c>
      <c r="AA19" s="296" t="e">
        <f t="shared" ref="AA19:AA23" si="17">VLOOKUP($B19,$S$3:$AA$9,9,FALSE)</f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1:27" ht="14.4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369"/>
      <c r="Q23" s="347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481" t="s">
        <v>34</v>
      </c>
      <c r="J24" s="481"/>
      <c r="K24" s="481"/>
      <c r="L24" s="481"/>
      <c r="M24" s="481"/>
      <c r="N24" s="481"/>
      <c r="O24" s="1"/>
      <c r="P24" s="12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thickBot="1">
      <c r="B25" s="388" t="s">
        <v>145</v>
      </c>
      <c r="C25" s="388"/>
      <c r="D25" s="459" t="s">
        <v>35</v>
      </c>
      <c r="E25" s="460"/>
      <c r="F25" s="294"/>
      <c r="G25" s="294"/>
      <c r="H25" s="23"/>
      <c r="I25" s="24" t="s">
        <v>17</v>
      </c>
      <c r="J25" s="25" t="s">
        <v>146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42" t="s">
        <v>9</v>
      </c>
      <c r="C26" s="362" cm="1">
        <f t="array" ref="C26:C29">[24]Process!$D$87:$D$90</f>
        <v>12</v>
      </c>
      <c r="D26" s="485">
        <v>11.87</v>
      </c>
      <c r="E26" s="486"/>
      <c r="F26" s="294"/>
      <c r="G26" s="294"/>
      <c r="H26" s="294"/>
      <c r="I26" s="29" t="s">
        <v>6</v>
      </c>
      <c r="J26" s="280">
        <f>AVERAGE(I10:I16)</f>
        <v>97.873638812264105</v>
      </c>
      <c r="K26" s="284">
        <f>COUNTA([23]Brewhouse!$A$255:$A$274)</f>
        <v>20</v>
      </c>
      <c r="L26" s="302">
        <f>AVERAGE([23]Brewhouse!$AU$255:$AU$274)</f>
        <v>99.862094430345962</v>
      </c>
      <c r="M26" s="302">
        <f>AVERAGE([23]Brewhouse!$AU$102:$AU$171,[23]Brewhouse!$AU$173:$AU$253,[23]Brewhouse!$AU$255:$AU$274)</f>
        <v>96.104722466867671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5" customHeight="1">
      <c r="A27" s="28"/>
      <c r="B27" s="543"/>
      <c r="C27" s="349">
        <v>12</v>
      </c>
      <c r="D27" s="487"/>
      <c r="E27" s="488"/>
      <c r="F27" s="294"/>
      <c r="G27" s="294"/>
      <c r="H27" s="32"/>
      <c r="I27" s="33" t="s">
        <v>9</v>
      </c>
      <c r="J27" s="280"/>
      <c r="K27" s="284">
        <f>COUNTA([24]Brewhouse!$A$105:$A$108)</f>
        <v>4</v>
      </c>
      <c r="L27" s="302">
        <f>AVERAGE([24]Brewhouse!$AS$105:$AS$108)</f>
        <v>96.250115276380697</v>
      </c>
      <c r="M27" s="302">
        <f>AVERAGE([24]Brewhouse!$AS$15:$AS$64,[24]Brewhouse!$AS$66:$AS$103,[24]Brewhouse!$AS$105:$AS$108)</f>
        <v>95.903646008746549</v>
      </c>
      <c r="N27" s="30">
        <v>98</v>
      </c>
      <c r="O27" s="11"/>
      <c r="P27" s="31"/>
      <c r="S27" s="277"/>
      <c r="T27" s="296"/>
      <c r="U27" s="296"/>
      <c r="V27" s="297"/>
      <c r="W27" s="297"/>
      <c r="X27" s="297"/>
      <c r="Y27" s="297"/>
      <c r="Z27" s="297"/>
      <c r="AA27" s="296"/>
    </row>
    <row r="28" spans="1:27" ht="14.7" customHeight="1">
      <c r="A28" s="28"/>
      <c r="B28" s="543"/>
      <c r="C28" s="349">
        <v>11.9</v>
      </c>
      <c r="D28" s="485">
        <v>11.87</v>
      </c>
      <c r="E28" s="486"/>
      <c r="F28" s="294"/>
      <c r="G28" s="294"/>
      <c r="H28" s="32"/>
      <c r="I28" s="34" t="s">
        <v>12</v>
      </c>
      <c r="J28" s="280"/>
      <c r="K28" s="284"/>
      <c r="L28" s="302"/>
      <c r="M28" s="302">
        <f>AVERAGE([25]Brewhouse!$AU$4:$AU$7,[25]Brewhouse!$AU$9:$AU$22)</f>
        <v>96.218977154617249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43"/>
      <c r="C29" s="349">
        <v>11.9</v>
      </c>
      <c r="D29" s="487"/>
      <c r="E29" s="488"/>
      <c r="F29" s="294"/>
      <c r="G29" s="294"/>
      <c r="H29" s="32"/>
      <c r="I29" s="22" t="s">
        <v>33</v>
      </c>
      <c r="J29" s="280"/>
      <c r="K29" s="284"/>
      <c r="L29" s="302"/>
      <c r="M29" s="302">
        <f>AVERAGE([26]Brewhouse!$AV$5:$AV$14,[26]Brewhouse!$AV$16:$AV$19)</f>
        <v>98.230957815544443</v>
      </c>
      <c r="N29" s="30">
        <v>98</v>
      </c>
      <c r="O29" s="11"/>
      <c r="P29" s="31"/>
      <c r="S29" s="23"/>
      <c r="T29" s="1"/>
      <c r="U29" s="1"/>
      <c r="AA29" s="285"/>
    </row>
    <row r="30" spans="1:27" ht="14.7" customHeight="1">
      <c r="A30" s="28"/>
      <c r="B30" s="543"/>
      <c r="C30" s="349"/>
      <c r="D30" s="485"/>
      <c r="E30" s="486"/>
      <c r="F30" s="294"/>
      <c r="G30" s="294"/>
      <c r="H30" s="32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S30" s="23"/>
    </row>
    <row r="31" spans="1:27" ht="14.7" customHeight="1">
      <c r="A31" s="28"/>
      <c r="B31" s="543"/>
      <c r="C31" s="349"/>
      <c r="D31" s="487"/>
      <c r="E31" s="488"/>
      <c r="F31" s="294"/>
      <c r="G31" s="294"/>
      <c r="H31" s="32"/>
      <c r="I31" s="36" t="s">
        <v>15</v>
      </c>
      <c r="J31" s="323"/>
      <c r="K31" s="284"/>
      <c r="L31" s="302"/>
      <c r="M31" s="302">
        <f>AVERAGE([27]Brewhouse!$AT$4:$AT$11)</f>
        <v>94.812616598822359</v>
      </c>
      <c r="N31" s="30">
        <v>98</v>
      </c>
      <c r="O31" s="11"/>
      <c r="P31" s="31"/>
      <c r="S31" s="23"/>
    </row>
    <row r="32" spans="1:27" ht="14.7" customHeight="1">
      <c r="A32" s="28"/>
      <c r="B32" s="543"/>
      <c r="C32" s="349"/>
      <c r="D32" s="485"/>
      <c r="E32" s="486"/>
      <c r="F32" s="294"/>
      <c r="G32" s="294"/>
      <c r="H32" s="32"/>
      <c r="I32" s="37" t="s">
        <v>16</v>
      </c>
      <c r="J32" s="323"/>
      <c r="K32" s="284">
        <f>COUNTA([22]Brewhouse!$A$22:$A$29)</f>
        <v>8</v>
      </c>
      <c r="L32" s="302">
        <f>AVERAGE([22]Brewhouse!$AY$22:$AY$29)</f>
        <v>98.065834237903474</v>
      </c>
      <c r="M32" s="302">
        <f>AVERAGE([22]Brewhouse!$AY$6:$AY$13,[22]Brewhouse!$AY$15:$AY$20,[22]Brewhouse!$AY$22:$AY$29)</f>
        <v>95.660462473217876</v>
      </c>
      <c r="N32" s="30">
        <v>98</v>
      </c>
      <c r="O32" s="11"/>
      <c r="P32" s="31" t="s">
        <v>41</v>
      </c>
      <c r="S32" s="23"/>
      <c r="X32" s="275" t="s">
        <v>41</v>
      </c>
    </row>
    <row r="33" spans="1:57" ht="14.7" customHeight="1">
      <c r="A33" s="28"/>
      <c r="B33" s="543"/>
      <c r="C33" s="349"/>
      <c r="D33" s="487"/>
      <c r="E33" s="488"/>
      <c r="F33" s="294"/>
      <c r="G33" s="294"/>
      <c r="H33" s="32"/>
      <c r="I33" s="415" t="s">
        <v>158</v>
      </c>
      <c r="J33" s="326"/>
      <c r="K33" s="284"/>
      <c r="L33" s="305"/>
      <c r="M33" s="305">
        <f>AVERAGE([28]Brewhouse!$AU$5:$AU$8)</f>
        <v>91.006888337619571</v>
      </c>
      <c r="N33" s="30">
        <v>98</v>
      </c>
      <c r="O33" s="11"/>
      <c r="P33" s="31"/>
      <c r="S33" s="23"/>
    </row>
    <row r="34" spans="1:57" ht="14.7" customHeight="1">
      <c r="A34" s="28"/>
      <c r="B34" s="543"/>
      <c r="C34" s="349"/>
      <c r="D34" s="485"/>
      <c r="E34" s="486"/>
      <c r="F34" s="294"/>
      <c r="G34" s="294"/>
      <c r="H34" s="32"/>
      <c r="I34" s="414" t="s">
        <v>157</v>
      </c>
      <c r="J34" s="326"/>
      <c r="K34" s="284"/>
      <c r="L34" s="305"/>
      <c r="M34" s="305"/>
      <c r="N34" s="30"/>
      <c r="O34" s="11"/>
      <c r="P34" s="31"/>
      <c r="S34" s="23"/>
    </row>
    <row r="35" spans="1:57" ht="15" customHeight="1" thickBot="1">
      <c r="A35" s="28"/>
      <c r="B35" s="543"/>
      <c r="C35" s="349"/>
      <c r="D35" s="487"/>
      <c r="E35" s="488"/>
      <c r="F35" s="294"/>
      <c r="G35" s="294"/>
      <c r="H35" s="32"/>
      <c r="I35" s="410" t="s">
        <v>156</v>
      </c>
      <c r="J35" s="327"/>
      <c r="K35" s="411"/>
      <c r="L35" s="412"/>
      <c r="M35" s="412"/>
      <c r="N35" s="413">
        <v>98</v>
      </c>
      <c r="O35" s="11"/>
      <c r="P35" s="31"/>
      <c r="S35" s="23"/>
    </row>
    <row r="36" spans="1:57" ht="15" customHeight="1" thickBot="1">
      <c r="A36" s="28"/>
      <c r="B36" s="543"/>
      <c r="C36" s="349"/>
      <c r="D36" s="485"/>
      <c r="E36" s="486"/>
      <c r="F36" s="294"/>
      <c r="G36" s="294"/>
      <c r="H36" s="32"/>
      <c r="I36" s="1"/>
      <c r="J36" s="39"/>
      <c r="K36" s="408">
        <f>SUM(K26:K35)</f>
        <v>32</v>
      </c>
      <c r="L36" s="409">
        <f>((L26*K26)+(L27*K27)+(L28*K28)+(L29*K29)+(L30*K30)+(K33*L33)+(L31*K31)+(L32*K32)+(L35*K35))/(K36)</f>
        <v>98.961531987989673</v>
      </c>
      <c r="M36" s="409">
        <f>AVERAGE('[29]Jan 31st'!$L$65,'[30]Feb 28th'!$L$35,L36)</f>
        <v>96.801502805129573</v>
      </c>
      <c r="N36" s="40">
        <v>98</v>
      </c>
      <c r="O36" s="11"/>
      <c r="P36" s="31"/>
      <c r="S36" s="23"/>
    </row>
    <row r="37" spans="1:57" ht="15" thickBot="1">
      <c r="B37" s="544"/>
      <c r="C37" s="350"/>
      <c r="D37" s="487"/>
      <c r="E37" s="488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S37" s="23"/>
    </row>
    <row r="38" spans="1:57" ht="15" thickBot="1">
      <c r="B38" s="539"/>
      <c r="C38" s="362"/>
      <c r="D38" s="498"/>
      <c r="E38" s="499"/>
      <c r="F38" s="43"/>
      <c r="G38" s="41"/>
      <c r="H38" s="41"/>
      <c r="I38" s="42"/>
      <c r="J38" s="501" t="s">
        <v>129</v>
      </c>
      <c r="K38" s="501"/>
      <c r="L38" s="294"/>
      <c r="M38" s="294"/>
      <c r="N38" s="294"/>
      <c r="O38" s="294"/>
      <c r="P38" s="12"/>
      <c r="S38" s="23" t="s">
        <v>41</v>
      </c>
    </row>
    <row r="39" spans="1:57" ht="13.5" customHeight="1" thickBot="1">
      <c r="B39" s="540"/>
      <c r="C39" s="349"/>
      <c r="D39" s="500"/>
      <c r="E39" s="488"/>
      <c r="F39" s="43"/>
      <c r="G39" s="41"/>
      <c r="H39" s="41"/>
      <c r="I39" s="42"/>
      <c r="J39" s="418" t="s">
        <v>17</v>
      </c>
      <c r="K39" s="293" t="s">
        <v>147</v>
      </c>
      <c r="L39" s="502" t="s">
        <v>136</v>
      </c>
      <c r="M39" s="502"/>
      <c r="N39" s="503"/>
      <c r="O39" s="294"/>
      <c r="P39" s="12"/>
      <c r="S39" s="23"/>
    </row>
    <row r="40" spans="1:57" ht="15" customHeight="1" thickBot="1">
      <c r="B40" s="540"/>
      <c r="C40" s="349"/>
      <c r="D40" s="504"/>
      <c r="E40" s="486"/>
      <c r="F40" s="43"/>
      <c r="G40" s="41"/>
      <c r="H40" s="41"/>
      <c r="I40" s="42"/>
      <c r="J40" s="419" t="s">
        <v>6</v>
      </c>
      <c r="K40" s="324">
        <f>COUNTA(B10:B16)</f>
        <v>7</v>
      </c>
      <c r="L40" s="343" t="s">
        <v>37</v>
      </c>
      <c r="M40" s="307" t="s">
        <v>38</v>
      </c>
      <c r="N40" s="307" t="s">
        <v>84</v>
      </c>
      <c r="O40" s="294"/>
      <c r="P40" s="12"/>
      <c r="S40" s="23"/>
    </row>
    <row r="41" spans="1:57" ht="15.75" customHeight="1" thickBot="1">
      <c r="B41" s="540"/>
      <c r="C41" s="349"/>
      <c r="D41" s="500"/>
      <c r="E41" s="488"/>
      <c r="F41" s="43"/>
      <c r="G41" s="41"/>
      <c r="H41" s="41"/>
      <c r="I41" s="42"/>
      <c r="J41" s="420" t="s">
        <v>9</v>
      </c>
      <c r="K41" s="324"/>
      <c r="L41" s="344">
        <f>AVERAGE('Mar. 3rd'!K80,'Mar. 4th'!K81,'Mar. 5th '!K50,K50)</f>
        <v>8</v>
      </c>
      <c r="M41" s="325">
        <f>AVERAGE('[29]Jan 29th '!$M$70,'[30]Feb 28th'!$L$40,L41)</f>
        <v>7.1703296703296706</v>
      </c>
      <c r="N41" s="400"/>
      <c r="O41" s="294"/>
      <c r="P41" s="12"/>
      <c r="S41" s="23"/>
    </row>
    <row r="42" spans="1:57" ht="15" customHeight="1">
      <c r="B42" s="540"/>
      <c r="C42" s="349"/>
      <c r="D42" s="504"/>
      <c r="E42" s="486"/>
      <c r="F42" s="43"/>
      <c r="G42" s="41"/>
      <c r="H42" s="41"/>
      <c r="I42" s="42"/>
      <c r="J42" s="421" t="s">
        <v>40</v>
      </c>
      <c r="K42" s="324"/>
      <c r="L42" s="294"/>
      <c r="M42" s="294"/>
      <c r="N42" s="294"/>
      <c r="O42" s="294"/>
      <c r="P42" s="12"/>
      <c r="S42" s="23"/>
    </row>
    <row r="43" spans="1:57" ht="15" customHeight="1">
      <c r="B43" s="540"/>
      <c r="C43" s="349"/>
      <c r="D43" s="500"/>
      <c r="E43" s="488"/>
      <c r="F43" s="43"/>
      <c r="G43" s="41"/>
      <c r="H43" s="41"/>
      <c r="I43" s="42"/>
      <c r="J43" s="422" t="s">
        <v>33</v>
      </c>
      <c r="K43" s="324"/>
      <c r="L43" s="294"/>
      <c r="M43" s="294"/>
      <c r="N43" s="294"/>
      <c r="O43" s="294"/>
      <c r="P43" s="12"/>
      <c r="S43" s="23"/>
    </row>
    <row r="44" spans="1:57" ht="14.4">
      <c r="B44" s="540"/>
      <c r="C44" s="349"/>
      <c r="D44" s="504"/>
      <c r="E44" s="486"/>
      <c r="F44" s="43"/>
      <c r="G44" s="41"/>
      <c r="H44" s="41"/>
      <c r="I44" s="42"/>
      <c r="J44" s="423" t="s">
        <v>16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40"/>
      <c r="C45" s="349"/>
      <c r="D45" s="500"/>
      <c r="E45" s="488"/>
      <c r="F45" s="43"/>
      <c r="G45" s="41"/>
      <c r="H45" s="41"/>
      <c r="I45" s="42"/>
      <c r="J45" s="424" t="s">
        <v>15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4.4">
      <c r="B46" s="540"/>
      <c r="C46" s="349"/>
      <c r="D46" s="505"/>
      <c r="E46" s="490"/>
      <c r="F46" s="43"/>
      <c r="G46" s="41"/>
      <c r="H46" s="41"/>
      <c r="I46" s="42"/>
      <c r="J46" s="424" t="s">
        <v>149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5" thickBot="1">
      <c r="B47" s="541"/>
      <c r="C47" s="350"/>
      <c r="D47" s="506"/>
      <c r="E47" s="507"/>
      <c r="F47" s="43"/>
      <c r="G47" s="41"/>
      <c r="H47" s="41"/>
      <c r="I47" s="42"/>
      <c r="J47" s="424" t="s">
        <v>148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 thickBot="1">
      <c r="B48" s="312" t="s">
        <v>139</v>
      </c>
      <c r="C48" s="313"/>
      <c r="D48" s="508">
        <f>AVERAGE(D26:E47)</f>
        <v>11.87</v>
      </c>
      <c r="E48" s="509"/>
      <c r="F48" s="43"/>
      <c r="G48" s="41"/>
      <c r="H48" s="41"/>
      <c r="I48" s="42"/>
      <c r="J48" s="425" t="s">
        <v>134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7.7" customHeight="1">
      <c r="B49" s="363"/>
      <c r="C49" s="364"/>
      <c r="D49" s="365"/>
      <c r="E49" s="365"/>
      <c r="F49" s="43"/>
      <c r="G49" s="41"/>
      <c r="H49" s="41"/>
      <c r="I49" s="42"/>
      <c r="J49" s="425" t="s">
        <v>131</v>
      </c>
      <c r="K49" s="324"/>
      <c r="L49" s="294"/>
      <c r="M49" s="294"/>
      <c r="N49" s="294"/>
      <c r="O49" s="294"/>
      <c r="P49" s="12"/>
      <c r="S49" s="23"/>
      <c r="BD49" s="44"/>
      <c r="BE49" s="44"/>
    </row>
    <row r="50" spans="2:58" ht="15.75" customHeight="1">
      <c r="B50" s="45"/>
      <c r="C50" s="11"/>
      <c r="D50" s="11"/>
      <c r="E50" s="46"/>
      <c r="F50" s="23"/>
      <c r="G50" s="11"/>
      <c r="H50" s="41"/>
      <c r="I50" s="42"/>
      <c r="J50" s="426" t="s">
        <v>130</v>
      </c>
      <c r="K50" s="324">
        <f>SUM(K40:K49)</f>
        <v>7</v>
      </c>
      <c r="L50" s="294"/>
      <c r="M50" s="294"/>
      <c r="N50" s="294"/>
      <c r="O50" s="294"/>
      <c r="P50" s="12"/>
    </row>
    <row r="51" spans="2:58" ht="20.25" customHeight="1">
      <c r="B51" s="15" t="s">
        <v>42</v>
      </c>
      <c r="C51" s="1" t="s">
        <v>43</v>
      </c>
      <c r="D51" s="1"/>
      <c r="E51" s="1"/>
      <c r="I51" s="42"/>
      <c r="L51" s="294"/>
      <c r="P51" s="334"/>
    </row>
    <row r="52" spans="2:58" ht="15" customHeight="1" thickBo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/>
      <c r="O52" s="48"/>
      <c r="P52" s="49"/>
      <c r="X52" s="275" t="s">
        <v>41</v>
      </c>
    </row>
    <row r="53" spans="2:58" ht="15" customHeight="1" thickBot="1">
      <c r="B53" s="510" t="s">
        <v>17</v>
      </c>
      <c r="C53" s="510" t="s">
        <v>44</v>
      </c>
      <c r="D53" s="512" t="s">
        <v>45</v>
      </c>
      <c r="E53" s="467" t="s">
        <v>46</v>
      </c>
      <c r="F53" s="527" t="s">
        <v>47</v>
      </c>
      <c r="G53" s="521" t="s">
        <v>48</v>
      </c>
      <c r="H53" s="510" t="s">
        <v>49</v>
      </c>
      <c r="I53" s="510" t="s">
        <v>50</v>
      </c>
      <c r="J53" s="515" t="s">
        <v>28</v>
      </c>
      <c r="K53" s="465" t="s">
        <v>51</v>
      </c>
      <c r="L53" s="477" t="s">
        <v>52</v>
      </c>
      <c r="M53" s="515" t="s">
        <v>53</v>
      </c>
      <c r="N53" s="77"/>
      <c r="O53" s="13"/>
      <c r="P53" s="50"/>
    </row>
    <row r="54" spans="2:58" ht="28.5" customHeight="1" thickTop="1" thickBot="1">
      <c r="B54" s="511"/>
      <c r="C54" s="511"/>
      <c r="D54" s="513"/>
      <c r="E54" s="514"/>
      <c r="F54" s="528"/>
      <c r="G54" s="522"/>
      <c r="H54" s="511"/>
      <c r="I54" s="511"/>
      <c r="J54" s="516"/>
      <c r="K54" s="525"/>
      <c r="L54" s="526"/>
      <c r="M54" s="516"/>
      <c r="N54" s="77"/>
      <c r="O54" s="13"/>
      <c r="P54" s="50"/>
      <c r="Q54" s="355"/>
      <c r="R54" s="355"/>
      <c r="S54" s="355"/>
      <c r="T54" s="355"/>
      <c r="U54" s="51">
        <v>43466</v>
      </c>
      <c r="V54" s="51">
        <v>43467</v>
      </c>
      <c r="W54" s="51">
        <v>43468</v>
      </c>
      <c r="X54" s="51">
        <v>43469</v>
      </c>
      <c r="Y54" s="51">
        <v>43470</v>
      </c>
      <c r="Z54" s="51">
        <v>43471</v>
      </c>
      <c r="AA54" s="51">
        <v>43472</v>
      </c>
      <c r="AB54" s="51">
        <v>43473</v>
      </c>
      <c r="AC54" s="51">
        <v>43474</v>
      </c>
      <c r="AD54" s="51">
        <v>43475</v>
      </c>
      <c r="AE54" s="51">
        <v>43476</v>
      </c>
      <c r="AF54" s="51">
        <v>43477</v>
      </c>
      <c r="AG54" s="51">
        <v>43478</v>
      </c>
      <c r="AH54" s="51">
        <v>43479</v>
      </c>
      <c r="AI54" s="51">
        <v>43480</v>
      </c>
      <c r="AJ54" s="51">
        <v>43481</v>
      </c>
      <c r="AK54" s="51">
        <v>43482</v>
      </c>
      <c r="AL54" s="51">
        <v>43483</v>
      </c>
      <c r="AM54" s="51">
        <v>43484</v>
      </c>
      <c r="AN54" s="51">
        <v>43485</v>
      </c>
      <c r="AO54" s="51">
        <v>43486</v>
      </c>
      <c r="AP54" s="51">
        <v>43487</v>
      </c>
      <c r="AQ54" s="51">
        <v>43488</v>
      </c>
      <c r="AR54" s="51">
        <v>43489</v>
      </c>
      <c r="AS54" s="51">
        <v>43490</v>
      </c>
      <c r="AT54" s="51">
        <v>43491</v>
      </c>
      <c r="AU54" s="51">
        <v>43492</v>
      </c>
      <c r="AV54" s="51">
        <v>43493</v>
      </c>
      <c r="AW54" s="51">
        <v>43494</v>
      </c>
      <c r="AX54" s="51">
        <v>43495</v>
      </c>
      <c r="AY54" s="51">
        <v>43496</v>
      </c>
    </row>
    <row r="55" spans="2:58" s="54" customFormat="1" ht="56.4" customHeight="1" thickBot="1">
      <c r="B55" s="435" t="str">
        <f>J41</f>
        <v>STAG</v>
      </c>
      <c r="C55" s="283">
        <v>45722</v>
      </c>
      <c r="D55" s="377">
        <f>[31]March_2025!$I$13</f>
        <v>198.79999999999998</v>
      </c>
      <c r="E55" s="378"/>
      <c r="F55" s="379">
        <f>SUM([32]STAG!$L$11:$L$14)</f>
        <v>195.4</v>
      </c>
      <c r="G55" s="303">
        <f>[31]March_2025!$I$17</f>
        <v>182.7</v>
      </c>
      <c r="H55" s="320">
        <f>(D55-F55)/D55*100</f>
        <v>1.7102615694164875</v>
      </c>
      <c r="I55" s="322">
        <f>((F55+E55)-G55)/(F55+E55)*100</f>
        <v>6.4994882292732941</v>
      </c>
      <c r="J55" s="390" t="s">
        <v>168</v>
      </c>
      <c r="K55" s="433">
        <f>[33]March_2025!$I$25</f>
        <v>0.91349999999999998</v>
      </c>
      <c r="L55" s="314">
        <f>(((D55+E55)-G55)/(D55+E55))*100</f>
        <v>8.0985915492957723</v>
      </c>
      <c r="M55" s="357" t="s">
        <v>166</v>
      </c>
      <c r="N55" s="13"/>
      <c r="O55" s="13"/>
      <c r="P55" s="50"/>
      <c r="T55" s="272" t="s">
        <v>54</v>
      </c>
      <c r="U55" s="279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9"/>
      <c r="AG55" s="279"/>
      <c r="AH55" s="279"/>
      <c r="AI55" s="279"/>
      <c r="AJ55" s="279"/>
      <c r="AK55" s="279"/>
      <c r="AL55" s="279"/>
      <c r="AM55" s="279"/>
      <c r="AN55" s="279"/>
      <c r="AO55" s="279"/>
      <c r="AP55" s="279"/>
      <c r="AQ55" s="279"/>
      <c r="AR55" s="279"/>
      <c r="AS55" s="279"/>
      <c r="AT55" s="279"/>
      <c r="AU55" s="279"/>
      <c r="AV55" s="279"/>
      <c r="AW55" s="279"/>
      <c r="AX55" s="279"/>
    </row>
    <row r="56" spans="2:58" s="54" customFormat="1" ht="18.75" customHeight="1" thickBot="1">
      <c r="B56" s="387"/>
      <c r="C56" s="283"/>
      <c r="D56" s="279"/>
      <c r="E56" s="279"/>
      <c r="F56" s="279"/>
      <c r="G56" s="279"/>
      <c r="H56" s="320"/>
      <c r="I56" s="322"/>
      <c r="J56" s="389"/>
      <c r="K56" s="434"/>
      <c r="L56" s="314"/>
      <c r="M56" s="384"/>
      <c r="N56" s="13"/>
      <c r="O56" s="13"/>
      <c r="P56" s="50"/>
      <c r="T56" s="272" t="s">
        <v>51</v>
      </c>
      <c r="U56" s="57" t="e">
        <f>[20]January_2019!D8</f>
        <v>#DIV/0!</v>
      </c>
      <c r="V56" s="57">
        <f>[20]January_2019!E8</f>
        <v>1.0319298245614037</v>
      </c>
      <c r="W56" s="57">
        <f>[20]January_2019!F8</f>
        <v>1.7789473684210526</v>
      </c>
      <c r="X56" s="57">
        <f>[20]January_2019!G8</f>
        <v>0.51929824561403504</v>
      </c>
      <c r="Y56" s="57" t="e">
        <f>[20]January_2019!H8</f>
        <v>#DIV/0!</v>
      </c>
      <c r="Z56" s="57" t="e">
        <f>[20]January_2019!I8</f>
        <v>#DIV/0!</v>
      </c>
      <c r="AA56" s="57">
        <f>[20]January_2019!J8</f>
        <v>1.365263157894737</v>
      </c>
      <c r="AB56" s="57" t="e">
        <f>[20]January_2019!K8</f>
        <v>#DIV/0!</v>
      </c>
      <c r="AC56" s="57">
        <f>[20]January_2019!L8</f>
        <v>1.0028070175438597</v>
      </c>
      <c r="AD56" s="57">
        <f>[20]January_2019!M8</f>
        <v>1.7828070175438597</v>
      </c>
      <c r="AE56" s="57" t="e">
        <f>[20]January_2019!N8</f>
        <v>#DIV/0!</v>
      </c>
      <c r="AF56" s="57" t="e">
        <f>[20]January_2019!O8</f>
        <v>#DIV/0!</v>
      </c>
      <c r="AG56" s="57">
        <f>[20]January_2019!P8</f>
        <v>0.19222222222222221</v>
      </c>
      <c r="AH56" s="57">
        <f>[20]January_2019!Q8</f>
        <v>0.52219298245614032</v>
      </c>
      <c r="AI56" s="57">
        <f>[20]January_2019!R8</f>
        <v>0.42912280701754385</v>
      </c>
      <c r="AJ56" s="57" t="e">
        <f>[20]January_2019!S8</f>
        <v>#DIV/0!</v>
      </c>
      <c r="AK56" s="57">
        <f>[20]January_2019!T8</f>
        <v>1.0340350877192983</v>
      </c>
      <c r="AL56" s="57">
        <f>[20]January_2019!U8</f>
        <v>0.98421052631578942</v>
      </c>
      <c r="AM56" s="57" t="e">
        <f>[20]January_2019!V8</f>
        <v>#DIV/0!</v>
      </c>
      <c r="AN56" s="57" t="e">
        <f>[20]January_2019!W8</f>
        <v>#DIV/0!</v>
      </c>
      <c r="AO56" s="57">
        <f>[20]January_2019!X8</f>
        <v>0.66052631578947374</v>
      </c>
      <c r="AP56" s="57">
        <f>[20]January_2019!Y8</f>
        <v>1.0375438596491227</v>
      </c>
      <c r="AQ56" s="57">
        <f>[20]January_2019!Z8</f>
        <v>0.90456140350877201</v>
      </c>
      <c r="AR56" s="57">
        <f>[20]January_2019!AA8</f>
        <v>1.0217543859649123</v>
      </c>
      <c r="AS56" s="57">
        <f>[20]January_2019!AB8</f>
        <v>0.65614035087719302</v>
      </c>
      <c r="AT56" s="57" t="e">
        <f>[20]January_2019!AC8</f>
        <v>#DIV/0!</v>
      </c>
      <c r="AU56" s="57" t="e">
        <f>[20]January_2019!AD8</f>
        <v>#DIV/0!</v>
      </c>
      <c r="AV56" s="57">
        <f>[20]January_2019!AE8</f>
        <v>1.7021052631578948</v>
      </c>
      <c r="AW56" s="57">
        <f>[20]January_2019!AF8</f>
        <v>0.60192982456140354</v>
      </c>
      <c r="AX56" s="57">
        <f>[20]January_2019!AG8</f>
        <v>1.4870175438596491</v>
      </c>
      <c r="AY56" s="277" t="e">
        <f>[20]January_2019!AH8</f>
        <v>#DIV/0!</v>
      </c>
      <c r="AZ56" s="277"/>
      <c r="BA56" s="277"/>
      <c r="BB56" s="277"/>
      <c r="BC56" s="277"/>
      <c r="BD56" s="277"/>
      <c r="BE56" s="277"/>
      <c r="BF56" s="277"/>
    </row>
    <row r="57" spans="2:58" s="54" customFormat="1" ht="14.4" thickBot="1">
      <c r="B57" s="361"/>
      <c r="C57" s="283"/>
      <c r="D57" s="304"/>
      <c r="E57" s="279"/>
      <c r="F57" s="279"/>
      <c r="G57" s="279"/>
      <c r="H57" s="381"/>
      <c r="I57" s="382"/>
      <c r="J57" s="432"/>
      <c r="K57" s="376"/>
      <c r="L57" s="314"/>
      <c r="M57" s="354"/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s="54" customFormat="1" ht="45.75" hidden="1" customHeight="1" thickBot="1">
      <c r="B58" s="427"/>
      <c r="C58" s="283"/>
      <c r="D58" s="279"/>
      <c r="E58" s="279"/>
      <c r="F58" s="279"/>
      <c r="G58" s="279"/>
      <c r="H58" s="320"/>
      <c r="I58" s="322"/>
      <c r="J58" s="432"/>
      <c r="K58" s="286"/>
      <c r="L58" s="314"/>
      <c r="M58" s="384"/>
      <c r="N58" s="13"/>
      <c r="O58" s="13"/>
      <c r="P58" s="50"/>
      <c r="T58" s="272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277"/>
      <c r="AZ58" s="277"/>
      <c r="BA58" s="277"/>
      <c r="BB58" s="277"/>
      <c r="BC58" s="277"/>
      <c r="BD58" s="277"/>
      <c r="BE58" s="277"/>
      <c r="BF58" s="277"/>
    </row>
    <row r="59" spans="2:58" ht="11.4" hidden="1" customHeight="1" thickBot="1">
      <c r="B59" s="33"/>
      <c r="C59" s="310"/>
      <c r="D59" s="279"/>
      <c r="E59" s="279"/>
      <c r="F59" s="279"/>
      <c r="G59" s="279"/>
      <c r="H59" s="352"/>
      <c r="I59" s="353"/>
      <c r="J59" s="281"/>
      <c r="K59" s="52"/>
      <c r="L59" s="53"/>
      <c r="M59" s="55"/>
      <c r="N59" s="77"/>
      <c r="O59" s="13"/>
      <c r="P59" s="56"/>
    </row>
    <row r="60" spans="2:58" ht="14.4" thickBot="1">
      <c r="B60" s="58"/>
      <c r="C60" s="309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9"/>
      <c r="O60" s="56"/>
      <c r="P60" s="60"/>
    </row>
    <row r="61" spans="2:58" ht="14.4" thickBot="1">
      <c r="B61" s="517" t="s">
        <v>55</v>
      </c>
      <c r="C61" s="518"/>
      <c r="D61" s="518"/>
      <c r="E61" s="518"/>
      <c r="F61" s="519"/>
      <c r="G61" s="517" t="s">
        <v>56</v>
      </c>
      <c r="H61" s="518"/>
      <c r="I61" s="518"/>
      <c r="J61" s="519"/>
      <c r="K61" s="517" t="s">
        <v>51</v>
      </c>
      <c r="L61" s="518"/>
      <c r="M61" s="518"/>
      <c r="N61" s="520"/>
      <c r="O61" s="56"/>
      <c r="P61" s="50"/>
    </row>
    <row r="62" spans="2:58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8">
      <c r="B63" s="29" t="s">
        <v>6</v>
      </c>
      <c r="C63" s="65"/>
      <c r="D63" s="76">
        <v>7.679054885552544</v>
      </c>
      <c r="E63" s="76">
        <v>7.0356103080463335</v>
      </c>
      <c r="F63" s="66">
        <v>4.8</v>
      </c>
      <c r="G63" s="65"/>
      <c r="H63" s="76">
        <v>7.381724949596177</v>
      </c>
      <c r="I63" s="76">
        <v>7.4474791966380929</v>
      </c>
      <c r="J63" s="66">
        <v>4.8</v>
      </c>
      <c r="K63" s="67"/>
      <c r="L63" s="194">
        <v>0.93775000000000008</v>
      </c>
      <c r="M63" s="194">
        <v>0.84308880137426323</v>
      </c>
      <c r="N63" s="68">
        <v>1</v>
      </c>
      <c r="O63" s="56"/>
      <c r="P63" s="69"/>
    </row>
    <row r="64" spans="2:58">
      <c r="B64" s="33" t="s">
        <v>9</v>
      </c>
      <c r="C64" s="65">
        <f>L55</f>
        <v>8.0985915492957723</v>
      </c>
      <c r="D64" s="76">
        <v>8.0985915492957723</v>
      </c>
      <c r="E64" s="76">
        <v>6.8731040381330475</v>
      </c>
      <c r="F64" s="66">
        <v>4.8</v>
      </c>
      <c r="G64" s="65">
        <f>[31]March_2025!$I$21</f>
        <v>8.7602816901408538</v>
      </c>
      <c r="H64" s="76">
        <v>8.7602816901408538</v>
      </c>
      <c r="I64" s="76">
        <v>7.0146635505370964</v>
      </c>
      <c r="J64" s="66">
        <v>4.8</v>
      </c>
      <c r="K64" s="67">
        <f>K55</f>
        <v>0.91349999999999998</v>
      </c>
      <c r="L64" s="194">
        <v>0.91349999999999998</v>
      </c>
      <c r="M64" s="194">
        <v>0.71880615552124827</v>
      </c>
      <c r="N64" s="68">
        <v>1</v>
      </c>
      <c r="P64" s="69"/>
    </row>
    <row r="65" spans="2:16">
      <c r="B65" s="34" t="s">
        <v>40</v>
      </c>
      <c r="C65" s="65"/>
      <c r="D65" s="76">
        <v>7.5445173383317687</v>
      </c>
      <c r="E65" s="76">
        <v>12.682396771189062</v>
      </c>
      <c r="F65" s="66">
        <v>5.5</v>
      </c>
      <c r="G65" s="65"/>
      <c r="H65" s="76">
        <v>8.3720217865482667</v>
      </c>
      <c r="I65" s="76">
        <v>14.322773542755614</v>
      </c>
      <c r="J65" s="66">
        <v>5.5</v>
      </c>
      <c r="K65" s="67"/>
      <c r="L65" s="194">
        <v>0.98650000000000004</v>
      </c>
      <c r="M65" s="194">
        <v>0.56862100456621001</v>
      </c>
      <c r="N65" s="68">
        <v>1</v>
      </c>
      <c r="P65" s="69"/>
    </row>
    <row r="66" spans="2:16">
      <c r="B66" s="22" t="s">
        <v>33</v>
      </c>
      <c r="C66" s="65"/>
      <c r="D66" s="76"/>
      <c r="E66" s="76">
        <v>3.9190537266638161</v>
      </c>
      <c r="F66" s="66">
        <v>3.3</v>
      </c>
      <c r="G66" s="65"/>
      <c r="H66" s="76"/>
      <c r="I66" s="76">
        <v>5.345661717473071</v>
      </c>
      <c r="J66" s="66">
        <v>3.3</v>
      </c>
      <c r="K66" s="67"/>
      <c r="L66" s="194"/>
      <c r="M66" s="194">
        <v>0.78853801169590654</v>
      </c>
      <c r="N66" s="68">
        <v>1</v>
      </c>
      <c r="P66" s="69"/>
    </row>
    <row r="67" spans="2:16">
      <c r="B67" s="35" t="s">
        <v>29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K67" s="67"/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8.7664670658682695</v>
      </c>
      <c r="F68" s="70">
        <f>[21]May_2022!$M$43</f>
        <v>3.4878406700073312</v>
      </c>
      <c r="G68" s="282"/>
      <c r="H68" s="76"/>
      <c r="I68" s="76">
        <v>10.607235567685406</v>
      </c>
      <c r="J68" s="66">
        <v>5.5</v>
      </c>
      <c r="K68" s="67"/>
      <c r="L68" s="194"/>
      <c r="M68" s="194">
        <v>0.66824561403508764</v>
      </c>
      <c r="N68" s="68">
        <v>1</v>
      </c>
      <c r="P68" s="69"/>
    </row>
    <row r="69" spans="2:16">
      <c r="B69" s="37" t="s">
        <v>16</v>
      </c>
      <c r="C69" s="65"/>
      <c r="D69" s="76">
        <v>3.2162295893122352</v>
      </c>
      <c r="E69" s="76">
        <v>2.483389608975052</v>
      </c>
      <c r="F69" s="66">
        <v>3.3</v>
      </c>
      <c r="G69" s="282"/>
      <c r="H69" s="76">
        <v>5.2379580553094636</v>
      </c>
      <c r="I69" s="76">
        <v>4.7281120363135472</v>
      </c>
      <c r="J69" s="66">
        <v>3.3</v>
      </c>
      <c r="K69" s="67"/>
      <c r="L69" s="194">
        <v>0.97799999999999998</v>
      </c>
      <c r="M69" s="194">
        <v>0.83672897196261686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4.4" thickBot="1">
      <c r="B71" s="437" t="s">
        <v>165</v>
      </c>
      <c r="C71" s="65"/>
      <c r="D71" s="76"/>
      <c r="E71" s="76">
        <v>4.8792508624938291</v>
      </c>
      <c r="F71" s="66">
        <v>4.8</v>
      </c>
      <c r="G71" s="282"/>
      <c r="H71" s="76"/>
      <c r="I71" s="76">
        <v>6.2003723782925313</v>
      </c>
      <c r="J71" s="66">
        <v>4.8</v>
      </c>
      <c r="K71" s="67"/>
      <c r="L71" s="194"/>
      <c r="M71" s="194">
        <v>0.33859649122807017</v>
      </c>
      <c r="N71" s="71">
        <v>1</v>
      </c>
      <c r="O71" s="74"/>
      <c r="P71" s="75"/>
    </row>
    <row r="72" spans="2:16">
      <c r="D72" s="76">
        <v>6.8489124044679688</v>
      </c>
      <c r="E72" s="76">
        <v>7.0709734923760355</v>
      </c>
      <c r="F72" s="341">
        <v>4.5</v>
      </c>
      <c r="H72" s="76">
        <v>7.3395418275787074</v>
      </c>
      <c r="I72" s="76">
        <v>7.8798124773392164</v>
      </c>
      <c r="J72" s="341">
        <v>4.5</v>
      </c>
      <c r="L72" s="194">
        <v>0.95069999999999988</v>
      </c>
      <c r="M72" s="194">
        <v>0.76369926199262006</v>
      </c>
      <c r="N72" s="386">
        <v>1</v>
      </c>
    </row>
    <row r="76" spans="2:16">
      <c r="F76" s="315"/>
    </row>
    <row r="84" spans="30:30">
      <c r="AD84" s="275" t="s">
        <v>57</v>
      </c>
    </row>
  </sheetData>
  <mergeCells count="52">
    <mergeCell ref="M4:N4"/>
    <mergeCell ref="T1:U1"/>
    <mergeCell ref="V1:W1"/>
    <mergeCell ref="X1:Y1"/>
    <mergeCell ref="Z1:AA1"/>
    <mergeCell ref="B2:O2"/>
    <mergeCell ref="C5:D5"/>
    <mergeCell ref="B8:B9"/>
    <mergeCell ref="C8:C9"/>
    <mergeCell ref="D8:D9"/>
    <mergeCell ref="G8:G9"/>
    <mergeCell ref="Q8:Q9"/>
    <mergeCell ref="I24:N24"/>
    <mergeCell ref="D25:E25"/>
    <mergeCell ref="B26:B37"/>
    <mergeCell ref="D26:E27"/>
    <mergeCell ref="D28:E29"/>
    <mergeCell ref="D30:E31"/>
    <mergeCell ref="D32:E33"/>
    <mergeCell ref="D34:E35"/>
    <mergeCell ref="I8:I9"/>
    <mergeCell ref="J8:J9"/>
    <mergeCell ref="K8:K9"/>
    <mergeCell ref="L8:L9"/>
    <mergeCell ref="O8:O9"/>
    <mergeCell ref="P8:P9"/>
    <mergeCell ref="H8:H9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1:F61"/>
    <mergeCell ref="G61:J61"/>
    <mergeCell ref="K61:N61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651" priority="133" operator="notBetween">
      <formula>#REF!</formula>
      <formula>#REF!</formula>
    </cfRule>
  </conditionalFormatting>
  <conditionalFormatting sqref="C52">
    <cfRule type="cellIs" dxfId="2650" priority="165" stopIfTrue="1" operator="greaterThan">
      <formula>100</formula>
    </cfRule>
    <cfRule type="cellIs" dxfId="2649" priority="164" stopIfTrue="1" operator="lessThan">
      <formula>96</formula>
    </cfRule>
  </conditionalFormatting>
  <conditionalFormatting sqref="C63">
    <cfRule type="cellIs" dxfId="2648" priority="61" stopIfTrue="1" operator="greaterThan">
      <formula>$F63</formula>
    </cfRule>
  </conditionalFormatting>
  <conditionalFormatting sqref="C63:C64">
    <cfRule type="cellIs" dxfId="2647" priority="62" stopIfTrue="1" operator="lessThanOrEqual">
      <formula>0</formula>
    </cfRule>
  </conditionalFormatting>
  <conditionalFormatting sqref="C64">
    <cfRule type="cellIs" dxfId="2646" priority="168" stopIfTrue="1" operator="greaterThan">
      <formula>$F63</formula>
    </cfRule>
  </conditionalFormatting>
  <conditionalFormatting sqref="C65:C67">
    <cfRule type="cellIs" dxfId="2645" priority="89" stopIfTrue="1" operator="greaterThan">
      <formula>$F65</formula>
    </cfRule>
  </conditionalFormatting>
  <conditionalFormatting sqref="C65:C68">
    <cfRule type="cellIs" dxfId="2644" priority="112" stopIfTrue="1" operator="lessThanOrEqual">
      <formula>0</formula>
    </cfRule>
  </conditionalFormatting>
  <conditionalFormatting sqref="C68">
    <cfRule type="cellIs" dxfId="2643" priority="111" stopIfTrue="1" operator="greaterThan">
      <formula>$J68</formula>
    </cfRule>
  </conditionalFormatting>
  <conditionalFormatting sqref="C74:C78">
    <cfRule type="cellIs" dxfId="2642" priority="156" stopIfTrue="1" operator="lessThanOrEqual">
      <formula>0</formula>
    </cfRule>
  </conditionalFormatting>
  <conditionalFormatting sqref="C75:C78">
    <cfRule type="cellIs" dxfId="2641" priority="155" stopIfTrue="1" operator="greaterThan">
      <formula>$F$74</formula>
    </cfRule>
  </conditionalFormatting>
  <conditionalFormatting sqref="C80">
    <cfRule type="cellIs" dxfId="2640" priority="158" stopIfTrue="1" operator="lessThanOrEqual">
      <formula>0</formula>
    </cfRule>
    <cfRule type="cellIs" dxfId="2639" priority="157" stopIfTrue="1" operator="greaterThan">
      <formula>$F$74</formula>
    </cfRule>
  </conditionalFormatting>
  <conditionalFormatting sqref="C74:D74 D76:D82">
    <cfRule type="cellIs" dxfId="2638" priority="150" stopIfTrue="1" operator="greaterThan">
      <formula>4.5</formula>
    </cfRule>
  </conditionalFormatting>
  <conditionalFormatting sqref="D48:D49">
    <cfRule type="cellIs" dxfId="2637" priority="134" operator="notBetween">
      <formula>#REF!</formula>
      <formula>#REF!</formula>
    </cfRule>
  </conditionalFormatting>
  <conditionalFormatting sqref="D63:D70">
    <cfRule type="cellIs" dxfId="2636" priority="123" stopIfTrue="1" operator="lessThanOrEqual">
      <formula>0</formula>
    </cfRule>
  </conditionalFormatting>
  <conditionalFormatting sqref="D71">
    <cfRule type="cellIs" dxfId="2635" priority="122" stopIfTrue="1" operator="lessThanOrEqual">
      <formula>0</formula>
    </cfRule>
  </conditionalFormatting>
  <conditionalFormatting sqref="D74 D76:D82">
    <cfRule type="cellIs" dxfId="2634" priority="151" stopIfTrue="1" operator="lessThanOrEqual">
      <formula>0</formula>
    </cfRule>
  </conditionalFormatting>
  <conditionalFormatting sqref="D75">
    <cfRule type="cellIs" dxfId="2633" priority="142" stopIfTrue="1" operator="greaterThan">
      <formula>$F$74</formula>
    </cfRule>
    <cfRule type="cellIs" dxfId="2632" priority="143" stopIfTrue="1" operator="lessThanOrEqual">
      <formula>0</formula>
    </cfRule>
  </conditionalFormatting>
  <conditionalFormatting sqref="D63:E72">
    <cfRule type="cellIs" dxfId="2631" priority="20" stopIfTrue="1" operator="greaterThan">
      <formula>$F63</formula>
    </cfRule>
  </conditionalFormatting>
  <conditionalFormatting sqref="D72:E72">
    <cfRule type="cellIs" dxfId="2630" priority="21" stopIfTrue="1" operator="lessThanOrEqual">
      <formula>0</formula>
    </cfRule>
  </conditionalFormatting>
  <conditionalFormatting sqref="E10:E23">
    <cfRule type="cellIs" dxfId="2629" priority="43" operator="lessThan">
      <formula>48</formula>
    </cfRule>
  </conditionalFormatting>
  <conditionalFormatting sqref="E52">
    <cfRule type="cellIs" dxfId="2628" priority="144" stopIfTrue="1" operator="lessThan">
      <formula>96.8</formula>
    </cfRule>
    <cfRule type="cellIs" dxfId="2627" priority="145" stopIfTrue="1" operator="greaterThan">
      <formula>100</formula>
    </cfRule>
  </conditionalFormatting>
  <conditionalFormatting sqref="E63:E71">
    <cfRule type="cellIs" dxfId="2626" priority="116" stopIfTrue="1" operator="lessThanOrEqual">
      <formula>0</formula>
    </cfRule>
  </conditionalFormatting>
  <conditionalFormatting sqref="E74:E82">
    <cfRule type="cellIs" dxfId="2625" priority="137" stopIfTrue="1" operator="lessThanOrEqual">
      <formula>0</formula>
    </cfRule>
    <cfRule type="cellIs" dxfId="2624" priority="136" stopIfTrue="1" operator="greaterThan">
      <formula>4.5</formula>
    </cfRule>
  </conditionalFormatting>
  <conditionalFormatting sqref="E51:F52">
    <cfRule type="cellIs" dxfId="2623" priority="146" stopIfTrue="1" operator="lessThan">
      <formula>96.5</formula>
    </cfRule>
    <cfRule type="cellIs" dxfId="2622" priority="147" stopIfTrue="1" operator="greaterThan">
      <formula>100</formula>
    </cfRule>
  </conditionalFormatting>
  <conditionalFormatting sqref="F10:F22">
    <cfRule type="cellIs" dxfId="2621" priority="45" operator="greaterThan">
      <formula>60</formula>
    </cfRule>
  </conditionalFormatting>
  <conditionalFormatting sqref="F23">
    <cfRule type="cellIs" dxfId="2620" priority="264" operator="greaterThan">
      <formula>$AA23</formula>
    </cfRule>
    <cfRule type="cellIs" dxfId="2619" priority="265" operator="greaterThan">
      <formula>$AA60</formula>
    </cfRule>
  </conditionalFormatting>
  <conditionalFormatting sqref="F52">
    <cfRule type="cellIs" dxfId="2618" priority="162" stopIfTrue="1" operator="lessThan">
      <formula>96.8</formula>
    </cfRule>
    <cfRule type="cellIs" dxfId="2617" priority="163" stopIfTrue="1" operator="greaterThan">
      <formula>100</formula>
    </cfRule>
  </conditionalFormatting>
  <conditionalFormatting sqref="F72">
    <cfRule type="cellIs" dxfId="2616" priority="118" stopIfTrue="1" operator="lessThanOrEqual">
      <formula>0</formula>
    </cfRule>
    <cfRule type="cellIs" dxfId="2615" priority="117" stopIfTrue="1" operator="greaterThan">
      <formula>$F72</formula>
    </cfRule>
  </conditionalFormatting>
  <conditionalFormatting sqref="G63:G64 C69:C71">
    <cfRule type="cellIs" dxfId="2614" priority="124" stopIfTrue="1" operator="greaterThan">
      <formula>$F63</formula>
    </cfRule>
    <cfRule type="cellIs" dxfId="2613" priority="125" stopIfTrue="1" operator="lessThanOrEqual">
      <formula>0</formula>
    </cfRule>
  </conditionalFormatting>
  <conditionalFormatting sqref="G63:G64">
    <cfRule type="cellIs" dxfId="2612" priority="69" stopIfTrue="1" operator="lessThanOrEqual">
      <formula>0</formula>
    </cfRule>
    <cfRule type="cellIs" dxfId="2611" priority="68" stopIfTrue="1" operator="greaterThan">
      <formula>$F63</formula>
    </cfRule>
  </conditionalFormatting>
  <conditionalFormatting sqref="G65">
    <cfRule type="cellIs" dxfId="2610" priority="166" stopIfTrue="1" operator="greaterThan">
      <formula>$F64</formula>
    </cfRule>
    <cfRule type="cellIs" dxfId="2609" priority="167" stopIfTrue="1" operator="lessThanOrEqual">
      <formula>0</formula>
    </cfRule>
  </conditionalFormatting>
  <conditionalFormatting sqref="G66">
    <cfRule type="cellIs" dxfId="2608" priority="120" stopIfTrue="1" operator="lessThanOrEqual">
      <formula>0</formula>
    </cfRule>
    <cfRule type="cellIs" dxfId="2607" priority="119" stopIfTrue="1" operator="greaterThan">
      <formula>$F66</formula>
    </cfRule>
  </conditionalFormatting>
  <conditionalFormatting sqref="G67:G71">
    <cfRule type="cellIs" dxfId="2606" priority="126" stopIfTrue="1" operator="greaterThan">
      <formula>$J67</formula>
    </cfRule>
    <cfRule type="cellIs" dxfId="2605" priority="127" stopIfTrue="1" operator="lessThanOrEqual">
      <formula>0</formula>
    </cfRule>
  </conditionalFormatting>
  <conditionalFormatting sqref="G76:G81 C79 C81">
    <cfRule type="cellIs" dxfId="2604" priority="160" stopIfTrue="1" operator="lessThanOrEqual">
      <formula>0</formula>
    </cfRule>
    <cfRule type="cellIs" dxfId="2603" priority="159" stopIfTrue="1" operator="greaterThan">
      <formula>4.5</formula>
    </cfRule>
  </conditionalFormatting>
  <conditionalFormatting sqref="G10:H23">
    <cfRule type="expression" dxfId="2602" priority="36">
      <formula>IF(+(IF(G10&lt;#REF!,0,IF(G10&gt;#REF!,0,1)))=0,1)</formula>
    </cfRule>
  </conditionalFormatting>
  <conditionalFormatting sqref="G75:H75">
    <cfRule type="cellIs" dxfId="2601" priority="141" stopIfTrue="1" operator="lessThanOrEqual">
      <formula>0</formula>
    </cfRule>
    <cfRule type="cellIs" dxfId="2600" priority="140" stopIfTrue="1" operator="greaterThan">
      <formula>$F$74</formula>
    </cfRule>
  </conditionalFormatting>
  <conditionalFormatting sqref="H27:H50 G38:G49">
    <cfRule type="cellIs" dxfId="2599" priority="138" stopIfTrue="1" operator="greaterThan">
      <formula>0</formula>
    </cfRule>
  </conditionalFormatting>
  <conditionalFormatting sqref="H55">
    <cfRule type="cellIs" dxfId="2598" priority="32" stopIfTrue="1" operator="greaterThan">
      <formula>$F$37</formula>
    </cfRule>
    <cfRule type="cellIs" dxfId="2597" priority="33" stopIfTrue="1" operator="lessThanOrEqual">
      <formula>0</formula>
    </cfRule>
    <cfRule type="cellIs" dxfId="2596" priority="35" stopIfTrue="1" operator="lessThanOrEqual">
      <formula>0</formula>
    </cfRule>
    <cfRule type="cellIs" dxfId="2595" priority="34" stopIfTrue="1" operator="greaterThan">
      <formula>$F$35</formula>
    </cfRule>
    <cfRule type="cellIs" dxfId="2594" priority="23" stopIfTrue="1" operator="lessThanOrEqual">
      <formula>0</formula>
    </cfRule>
    <cfRule type="cellIs" dxfId="2593" priority="24" stopIfTrue="1" operator="greaterThan">
      <formula>$F$34</formula>
    </cfRule>
  </conditionalFormatting>
  <conditionalFormatting sqref="H56">
    <cfRule type="cellIs" dxfId="2592" priority="76" stopIfTrue="1" operator="lessThanOrEqual">
      <formula>0</formula>
    </cfRule>
    <cfRule type="cellIs" dxfId="2591" priority="77" stopIfTrue="1" operator="greaterThan">
      <formula>$F$62</formula>
    </cfRule>
    <cfRule type="cellIs" dxfId="2590" priority="85" stopIfTrue="1" operator="greaterThan">
      <formula>$F$65</formula>
    </cfRule>
    <cfRule type="cellIs" dxfId="2589" priority="86" stopIfTrue="1" operator="lessThanOrEqual">
      <formula>0</formula>
    </cfRule>
    <cfRule type="cellIs" dxfId="2588" priority="87" stopIfTrue="1" operator="greaterThan">
      <formula>$F$63</formula>
    </cfRule>
    <cfRule type="cellIs" dxfId="2587" priority="88" stopIfTrue="1" operator="lessThanOrEqual">
      <formula>0</formula>
    </cfRule>
  </conditionalFormatting>
  <conditionalFormatting sqref="H57">
    <cfRule type="cellIs" dxfId="2586" priority="51" stopIfTrue="1" operator="greaterThan">
      <formula>#REF!</formula>
    </cfRule>
    <cfRule type="cellIs" dxfId="2585" priority="50" stopIfTrue="1" operator="lessThanOrEqual">
      <formula>0</formula>
    </cfRule>
    <cfRule type="cellIs" dxfId="2584" priority="59" stopIfTrue="1" operator="greaterThan">
      <formula>#REF!</formula>
    </cfRule>
    <cfRule type="cellIs" dxfId="2583" priority="60" stopIfTrue="1" operator="lessThanOrEqual">
      <formula>0</formula>
    </cfRule>
  </conditionalFormatting>
  <conditionalFormatting sqref="H58">
    <cfRule type="cellIs" dxfId="2582" priority="97" stopIfTrue="1" operator="greaterThan">
      <formula>$F$63</formula>
    </cfRule>
    <cfRule type="cellIs" dxfId="2581" priority="108" stopIfTrue="1" operator="lessThanOrEqual">
      <formula>0</formula>
    </cfRule>
    <cfRule type="cellIs" dxfId="2580" priority="107" stopIfTrue="1" operator="greaterThan">
      <formula>$F$64</formula>
    </cfRule>
    <cfRule type="cellIs" dxfId="2579" priority="106" stopIfTrue="1" operator="lessThanOrEqual">
      <formula>0</formula>
    </cfRule>
    <cfRule type="cellIs" dxfId="2578" priority="105" stopIfTrue="1" operator="greaterThan">
      <formula>$F$66</formula>
    </cfRule>
    <cfRule type="cellIs" dxfId="2577" priority="71" stopIfTrue="1" operator="lessThanOrEqual">
      <formula>0</formula>
    </cfRule>
  </conditionalFormatting>
  <conditionalFormatting sqref="H59">
    <cfRule type="cellIs" dxfId="2576" priority="131" stopIfTrue="1" operator="greaterThan">
      <formula>$F$57</formula>
    </cfRule>
    <cfRule type="cellIs" dxfId="2575" priority="132" stopIfTrue="1" operator="lessThanOrEqual">
      <formula>0</formula>
    </cfRule>
    <cfRule type="cellIs" dxfId="2574" priority="129" stopIfTrue="1" operator="greaterThan">
      <formula>$F$60</formula>
    </cfRule>
    <cfRule type="cellIs" dxfId="2573" priority="130" stopIfTrue="1" operator="lessThanOrEqual">
      <formula>0</formula>
    </cfRule>
  </conditionalFormatting>
  <conditionalFormatting sqref="H63:H70">
    <cfRule type="cellIs" dxfId="2572" priority="110" stopIfTrue="1" operator="lessThanOrEqual">
      <formula>0</formula>
    </cfRule>
    <cfRule type="cellIs" dxfId="2571" priority="109" stopIfTrue="1" operator="greaterThan">
      <formula>$J63</formula>
    </cfRule>
  </conditionalFormatting>
  <conditionalFormatting sqref="H71">
    <cfRule type="cellIs" dxfId="2570" priority="113" operator="greaterThan">
      <formula>5.3</formula>
    </cfRule>
  </conditionalFormatting>
  <conditionalFormatting sqref="H74 H76:H82">
    <cfRule type="cellIs" dxfId="2569" priority="152" stopIfTrue="1" operator="greaterThan">
      <formula>4.5</formula>
    </cfRule>
    <cfRule type="cellIs" dxfId="2568" priority="153" stopIfTrue="1" operator="lessThanOrEqual">
      <formula>0</formula>
    </cfRule>
  </conditionalFormatting>
  <conditionalFormatting sqref="H55:I55">
    <cfRule type="cellIs" dxfId="2567" priority="25" stopIfTrue="1" operator="lessThanOrEqual">
      <formula>0</formula>
    </cfRule>
    <cfRule type="cellIs" dxfId="2566" priority="22" stopIfTrue="1" operator="greaterThan">
      <formula>$F$36</formula>
    </cfRule>
  </conditionalFormatting>
  <conditionalFormatting sqref="H56:I56">
    <cfRule type="cellIs" dxfId="2565" priority="75" stopIfTrue="1" operator="greaterThan">
      <formula>$F$64</formula>
    </cfRule>
    <cfRule type="cellIs" dxfId="2564" priority="78" stopIfTrue="1" operator="lessThanOrEqual">
      <formula>0</formula>
    </cfRule>
  </conditionalFormatting>
  <conditionalFormatting sqref="H57:I57">
    <cfRule type="cellIs" dxfId="2563" priority="55" stopIfTrue="1" operator="greaterThan">
      <formula>#REF!</formula>
    </cfRule>
    <cfRule type="cellIs" dxfId="2562" priority="52" stopIfTrue="1" operator="lessThanOrEqual">
      <formula>0</formula>
    </cfRule>
    <cfRule type="cellIs" dxfId="2561" priority="49" stopIfTrue="1" operator="greaterThan">
      <formula>#REF!</formula>
    </cfRule>
    <cfRule type="cellIs" dxfId="2560" priority="58" stopIfTrue="1" operator="lessThanOrEqual">
      <formula>0</formula>
    </cfRule>
  </conditionalFormatting>
  <conditionalFormatting sqref="H58:I58">
    <cfRule type="cellIs" dxfId="2559" priority="70" stopIfTrue="1" operator="greaterThan">
      <formula>$F$65</formula>
    </cfRule>
    <cfRule type="cellIs" dxfId="2558" priority="98" stopIfTrue="1" operator="lessThanOrEqual">
      <formula>0</formula>
    </cfRule>
  </conditionalFormatting>
  <conditionalFormatting sqref="H72:I72">
    <cfRule type="cellIs" dxfId="2557" priority="18" stopIfTrue="1" operator="greaterThan">
      <formula>$J72</formula>
    </cfRule>
    <cfRule type="cellIs" dxfId="2556" priority="19" stopIfTrue="1" operator="lessThanOrEqual">
      <formula>0</formula>
    </cfRule>
  </conditionalFormatting>
  <conditionalFormatting sqref="I23">
    <cfRule type="cellIs" dxfId="2555" priority="66" operator="lessThan">
      <formula>98</formula>
    </cfRule>
    <cfRule type="cellIs" dxfId="2554" priority="63" operator="lessThan">
      <formula>97.8</formula>
    </cfRule>
  </conditionalFormatting>
  <conditionalFormatting sqref="I55">
    <cfRule type="cellIs" dxfId="2553" priority="29" stopIfTrue="1" operator="lessThanOrEqual">
      <formula>0</formula>
    </cfRule>
    <cfRule type="cellIs" dxfId="2552" priority="30" stopIfTrue="1" operator="greaterThan">
      <formula>$F$34</formula>
    </cfRule>
    <cfRule type="cellIs" dxfId="2551" priority="31" stopIfTrue="1" operator="lessThanOrEqual">
      <formula>0</formula>
    </cfRule>
    <cfRule type="cellIs" dxfId="2550" priority="26" stopIfTrue="1" operator="greaterThan">
      <formula>$F$34</formula>
    </cfRule>
    <cfRule type="cellIs" dxfId="2549" priority="27" stopIfTrue="1" operator="lessThanOrEqual">
      <formula>0</formula>
    </cfRule>
    <cfRule type="cellIs" dxfId="2548" priority="28" stopIfTrue="1" operator="greaterThan">
      <formula>$F$36</formula>
    </cfRule>
  </conditionalFormatting>
  <conditionalFormatting sqref="I56">
    <cfRule type="cellIs" dxfId="2547" priority="84" stopIfTrue="1" operator="lessThanOrEqual">
      <formula>0</formula>
    </cfRule>
    <cfRule type="cellIs" dxfId="2546" priority="83" stopIfTrue="1" operator="greaterThan">
      <formula>$F$62</formula>
    </cfRule>
    <cfRule type="cellIs" dxfId="2545" priority="82" stopIfTrue="1" operator="lessThanOrEqual">
      <formula>0</formula>
    </cfRule>
    <cfRule type="cellIs" dxfId="2544" priority="81" stopIfTrue="1" operator="greaterThan">
      <formula>$F$64</formula>
    </cfRule>
    <cfRule type="cellIs" dxfId="2543" priority="80" stopIfTrue="1" operator="lessThanOrEqual">
      <formula>0</formula>
    </cfRule>
    <cfRule type="cellIs" dxfId="2542" priority="79" stopIfTrue="1" operator="greaterThan">
      <formula>$F$62</formula>
    </cfRule>
  </conditionalFormatting>
  <conditionalFormatting sqref="I57">
    <cfRule type="cellIs" dxfId="2541" priority="56" stopIfTrue="1" operator="lessThanOrEqual">
      <formula>0</formula>
    </cfRule>
    <cfRule type="cellIs" dxfId="2540" priority="53" stopIfTrue="1" operator="greaterThan">
      <formula>#REF!</formula>
    </cfRule>
    <cfRule type="cellIs" dxfId="2539" priority="54" stopIfTrue="1" operator="lessThanOrEqual">
      <formula>0</formula>
    </cfRule>
    <cfRule type="cellIs" dxfId="2538" priority="57" stopIfTrue="1" operator="greaterThan">
      <formula>#REF!</formula>
    </cfRule>
  </conditionalFormatting>
  <conditionalFormatting sqref="I58">
    <cfRule type="cellIs" dxfId="2537" priority="102" stopIfTrue="1" operator="lessThanOrEqual">
      <formula>0</formula>
    </cfRule>
    <cfRule type="cellIs" dxfId="2536" priority="104" stopIfTrue="1" operator="lessThanOrEqual">
      <formula>0</formula>
    </cfRule>
    <cfRule type="cellIs" dxfId="2535" priority="103" stopIfTrue="1" operator="greaterThan">
      <formula>$F$63</formula>
    </cfRule>
    <cfRule type="cellIs" dxfId="2534" priority="99" stopIfTrue="1" operator="greaterThan">
      <formula>$F$63</formula>
    </cfRule>
    <cfRule type="cellIs" dxfId="2533" priority="100" stopIfTrue="1" operator="lessThanOrEqual">
      <formula>0</formula>
    </cfRule>
    <cfRule type="cellIs" dxfId="2532" priority="101" stopIfTrue="1" operator="greaterThan">
      <formula>$F$65</formula>
    </cfRule>
  </conditionalFormatting>
  <conditionalFormatting sqref="I63:I71">
    <cfRule type="cellIs" dxfId="2531" priority="114" stopIfTrue="1" operator="greaterThan">
      <formula>$J63</formula>
    </cfRule>
    <cfRule type="cellIs" dxfId="2530" priority="115" stopIfTrue="1" operator="lessThanOrEqual">
      <formula>0</formula>
    </cfRule>
  </conditionalFormatting>
  <conditionalFormatting sqref="I74:I82">
    <cfRule type="cellIs" dxfId="2529" priority="148" stopIfTrue="1" operator="greaterThan">
      <formula>4.5</formula>
    </cfRule>
    <cfRule type="cellIs" dxfId="2528" priority="149" stopIfTrue="1" operator="lessThanOrEqual">
      <formula>0</formula>
    </cfRule>
  </conditionalFormatting>
  <conditionalFormatting sqref="I10:J22">
    <cfRule type="cellIs" dxfId="2527" priority="46" operator="lessThan">
      <formula>97.9</formula>
    </cfRule>
  </conditionalFormatting>
  <conditionalFormatting sqref="J23">
    <cfRule type="cellIs" dxfId="2526" priority="64" operator="notBetween">
      <formula>98</formula>
      <formula>99.9</formula>
    </cfRule>
    <cfRule type="cellIs" dxfId="2525" priority="65" operator="lessThan">
      <formula>97.4</formula>
    </cfRule>
  </conditionalFormatting>
  <conditionalFormatting sqref="J26:J28">
    <cfRule type="cellIs" dxfId="2524" priority="92" operator="lessThan">
      <formula>98</formula>
    </cfRule>
    <cfRule type="cellIs" dxfId="2523" priority="91" stopIfTrue="1" operator="greaterThan">
      <formula>100</formula>
    </cfRule>
    <cfRule type="cellIs" dxfId="2522" priority="90" stopIfTrue="1" operator="lessThan">
      <formula>96.8</formula>
    </cfRule>
  </conditionalFormatting>
  <conditionalFormatting sqref="J26:J30">
    <cfRule type="cellIs" dxfId="2521" priority="67" operator="lessThan">
      <formula>97.4</formula>
    </cfRule>
  </conditionalFormatting>
  <conditionalFormatting sqref="J31">
    <cfRule type="cellIs" dxfId="2520" priority="93" operator="lessThan">
      <formula>98</formula>
    </cfRule>
  </conditionalFormatting>
  <conditionalFormatting sqref="J32:J34">
    <cfRule type="cellIs" dxfId="2519" priority="94" stopIfTrue="1" operator="lessThan">
      <formula>96.8</formula>
    </cfRule>
    <cfRule type="cellIs" dxfId="2518" priority="95" stopIfTrue="1" operator="greaterThan">
      <formula>100</formula>
    </cfRule>
  </conditionalFormatting>
  <conditionalFormatting sqref="J32:J35">
    <cfRule type="cellIs" dxfId="2517" priority="96" operator="lessThan">
      <formula>98</formula>
    </cfRule>
  </conditionalFormatting>
  <conditionalFormatting sqref="J72">
    <cfRule type="cellIs" dxfId="2516" priority="1" stopIfTrue="1" operator="greaterThan">
      <formula>$F72</formula>
    </cfRule>
    <cfRule type="cellIs" dxfId="2515" priority="2" stopIfTrue="1" operator="lessThanOrEqual">
      <formula>0</formula>
    </cfRule>
  </conditionalFormatting>
  <conditionalFormatting sqref="K10:K23">
    <cfRule type="cellIs" dxfId="2514" priority="40" operator="lessThan">
      <formula>4</formula>
    </cfRule>
    <cfRule type="cellIs" dxfId="2513" priority="39" operator="greaterThan">
      <formula>6</formula>
    </cfRule>
    <cfRule type="cellIs" dxfId="2512" priority="44" operator="greaterThan">
      <formula>6.4</formula>
    </cfRule>
  </conditionalFormatting>
  <conditionalFormatting sqref="K40:K49">
    <cfRule type="cellIs" dxfId="2511" priority="121" operator="notEqual">
      <formula>#REF!</formula>
    </cfRule>
  </conditionalFormatting>
  <conditionalFormatting sqref="K55:K59 K63:N71">
    <cfRule type="cellIs" dxfId="2510" priority="128" stopIfTrue="1" operator="lessThan">
      <formula>100%</formula>
    </cfRule>
  </conditionalFormatting>
  <conditionalFormatting sqref="K74:K79">
    <cfRule type="cellIs" dxfId="2509" priority="154" stopIfTrue="1" operator="lessThan">
      <formula>100%</formula>
    </cfRule>
  </conditionalFormatting>
  <conditionalFormatting sqref="K81:K82">
    <cfRule type="cellIs" dxfId="2508" priority="161" stopIfTrue="1" operator="lessThan">
      <formula>100%</formula>
    </cfRule>
  </conditionalFormatting>
  <conditionalFormatting sqref="L10:L23">
    <cfRule type="cellIs" dxfId="2507" priority="42" operator="greaterThan">
      <formula>65</formula>
    </cfRule>
    <cfRule type="cellIs" dxfId="2506" priority="41" operator="between">
      <formula>61</formula>
      <formula>65</formula>
    </cfRule>
  </conditionalFormatting>
  <conditionalFormatting sqref="L26:M37">
    <cfRule type="cellIs" dxfId="2505" priority="47" operator="lessThan">
      <formula>98</formula>
    </cfRule>
  </conditionalFormatting>
  <conditionalFormatting sqref="L41:N41">
    <cfRule type="cellIs" dxfId="2504" priority="72" operator="notEqual">
      <formula>#REF!</formula>
    </cfRule>
  </conditionalFormatting>
  <conditionalFormatting sqref="L72:N72">
    <cfRule type="cellIs" dxfId="2503" priority="17" stopIfTrue="1" operator="lessThan">
      <formula>100%</formula>
    </cfRule>
  </conditionalFormatting>
  <conditionalFormatting sqref="L74:N82">
    <cfRule type="cellIs" dxfId="2502" priority="139" stopIfTrue="1" operator="lessThan">
      <formula>100%</formula>
    </cfRule>
  </conditionalFormatting>
  <conditionalFormatting sqref="M10:M23">
    <cfRule type="expression" dxfId="2501" priority="37">
      <formula>IF(+(IF(M10&lt;V10,0,IF(M10&gt;W10,0,1)))=0,1)</formula>
    </cfRule>
  </conditionalFormatting>
  <conditionalFormatting sqref="M6:N6">
    <cfRule type="cellIs" dxfId="2500" priority="74" operator="greaterThanOrEqual">
      <formula>19</formula>
    </cfRule>
    <cfRule type="cellIs" dxfId="2499" priority="73" operator="greaterThanOrEqual">
      <formula>15</formula>
    </cfRule>
  </conditionalFormatting>
  <conditionalFormatting sqref="N10:N23">
    <cfRule type="expression" dxfId="2498" priority="38">
      <formula>IF(+(IF(N10&lt;X10,0,IF(N10&gt;Y10,0,1)))=0,1)</formula>
    </cfRule>
  </conditionalFormatting>
  <conditionalFormatting sqref="N23">
    <cfRule type="expression" dxfId="2497" priority="169">
      <formula>IF(+(IF(N23&lt;X65,0,IF(N23&gt;Y65,0,1)))=0,1)</formula>
    </cfRule>
    <cfRule type="expression" dxfId="2496" priority="170">
      <formula>IF(+(IF(N23&lt;X60,0,IF(N23&gt;Y60,0,1)))=0,1)</formula>
    </cfRule>
  </conditionalFormatting>
  <conditionalFormatting sqref="P6">
    <cfRule type="cellIs" dxfId="2495" priority="135" operator="greaterThanOrEqual">
      <formula>19</formula>
    </cfRule>
  </conditionalFormatting>
  <dataValidations count="1">
    <dataValidation type="list" allowBlank="1" showInputMessage="1" showErrorMessage="1" sqref="S8 B23" xr:uid="{7617C149-4B2C-4E46-9CA3-855FE7006E0E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2FC0-4D1B-4ABE-9AAC-54CCBB746B4F}">
  <sheetPr>
    <pageSetUpPr fitToPage="1"/>
  </sheetPr>
  <dimension ref="A1:BF86"/>
  <sheetViews>
    <sheetView topLeftCell="A21" zoomScale="80" zoomScaleNormal="80" workbookViewId="0">
      <selection activeCell="I41" sqref="I41:K52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44140625" style="275" bestFit="1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5.33203125" style="275" customWidth="1"/>
    <col min="10" max="10" width="31.88671875" style="275" customWidth="1"/>
    <col min="11" max="11" width="27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45726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20</v>
      </c>
      <c r="N6" s="340">
        <v>16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[23]Brewhouse!$A275</f>
        <v>CA172</v>
      </c>
      <c r="D10" s="279">
        <f>[23]Brewhouse!$AF275</f>
        <v>54</v>
      </c>
      <c r="E10" s="279">
        <f>[23]Brewhouse!$AI275</f>
        <v>51.2</v>
      </c>
      <c r="F10" s="278">
        <f>[23]Brewhouse!$V275</f>
        <v>70</v>
      </c>
      <c r="G10" s="279">
        <f>[23]Brewhouse!$AG275</f>
        <v>11.9</v>
      </c>
      <c r="H10" s="396">
        <v>11.9</v>
      </c>
      <c r="I10" s="368">
        <f>[23]Brewhouse!$AU275</f>
        <v>99.866724046583627</v>
      </c>
      <c r="J10" s="368">
        <f>[23]Brewhouse!$AV275</f>
        <v>101.51796236631796</v>
      </c>
      <c r="K10" s="281">
        <f>[23]Brewhouse!$Q275</f>
        <v>5.7670979667282758</v>
      </c>
      <c r="L10" s="276">
        <f>[23]Brewhouse!$P275</f>
        <v>57</v>
      </c>
      <c r="M10" s="397">
        <f>[23]Brewhouse!$U275-[23]Brewhouse!$T275</f>
        <v>0.12013888888888885</v>
      </c>
      <c r="N10" s="370">
        <f>[23]Brewhouse!$Z275</f>
        <v>0.27499999999999997</v>
      </c>
      <c r="O10" s="371" t="str">
        <f>[23]Brewhouse!$AX275</f>
        <v>R.Sookram</v>
      </c>
      <c r="P10" s="441"/>
      <c r="Q10" s="347"/>
      <c r="S10" s="277" t="str">
        <f t="shared" ref="S10:S25" si="0">B10</f>
        <v>CARIB</v>
      </c>
      <c r="T10" s="296">
        <f t="shared" ref="T10:T25" si="1">VLOOKUP($B10,$S$3:$Y$9,2,FALSE)</f>
        <v>11.6</v>
      </c>
      <c r="U10" s="296">
        <f t="shared" ref="U10:U25" si="2">VLOOKUP($B10,$S$3:$Y$9,3,FALSE)</f>
        <v>12</v>
      </c>
      <c r="V10" s="297">
        <f t="shared" ref="V10:V25" si="3">VLOOKUP($B10,$S$3:$Y$9,4,FALSE)</f>
        <v>0</v>
      </c>
      <c r="W10" s="297">
        <f t="shared" ref="W10:W25" si="4">VLOOKUP($B10,$S$3:$Y$9,5,FALSE)</f>
        <v>0.118055555555556</v>
      </c>
      <c r="X10" s="297">
        <f t="shared" ref="X10:X25" si="5">VLOOKUP($B10,$S$3:$Y$9,6,FALSE)</f>
        <v>0.22569444444444445</v>
      </c>
      <c r="Y10" s="297">
        <f t="shared" ref="Y10:Y25" si="6">VLOOKUP($B10,$S$3:$Y$9,7,FALSE)</f>
        <v>0.2638888888888889</v>
      </c>
      <c r="Z10" s="297">
        <f t="shared" ref="Z10:Z25" si="7">VLOOKUP($B10,$S$3:$AA$9,8,FALSE)</f>
        <v>0</v>
      </c>
      <c r="AA10" s="296">
        <f t="shared" ref="AA10:AA25" si="8">VLOOKUP($B10,$S$3:$AA$9,9,FALSE)</f>
        <v>60</v>
      </c>
    </row>
    <row r="11" spans="2:30" ht="15.75" customHeight="1">
      <c r="B11" s="29" t="s">
        <v>6</v>
      </c>
      <c r="C11" s="366" t="str">
        <f>[23]Brewhouse!$A276</f>
        <v>CA173</v>
      </c>
      <c r="D11" s="279">
        <f>[23]Brewhouse!$AF276</f>
        <v>53.9</v>
      </c>
      <c r="E11" s="279">
        <f>[23]Brewhouse!$AI276</f>
        <v>50.6</v>
      </c>
      <c r="F11" s="278">
        <f>[23]Brewhouse!$V276</f>
        <v>62</v>
      </c>
      <c r="G11" s="279">
        <f>[23]Brewhouse!$AG276</f>
        <v>11.7</v>
      </c>
      <c r="H11" s="396">
        <v>11.9</v>
      </c>
      <c r="I11" s="368">
        <f>[23]Brewhouse!$AU276</f>
        <v>97.312963605074586</v>
      </c>
      <c r="J11" s="368">
        <f>[23]Brewhouse!$AV276</f>
        <v>98.921713393297736</v>
      </c>
      <c r="K11" s="281">
        <f>[23]Brewhouse!$Q276</f>
        <v>6.6415094339622556</v>
      </c>
      <c r="L11" s="276">
        <f>[23]Brewhouse!$P276</f>
        <v>60</v>
      </c>
      <c r="M11" s="397">
        <f>[23]Brewhouse!$U276-[23]Brewhouse!$T276</f>
        <v>0.11249999999999999</v>
      </c>
      <c r="N11" s="370">
        <f>[23]Brewhouse!$Z276</f>
        <v>0.27777777777777779</v>
      </c>
      <c r="O11" s="371" t="str">
        <f>[23]Brewhouse!$AX276</f>
        <v>K.Benjamin</v>
      </c>
      <c r="P11" s="441"/>
      <c r="Q11" s="347"/>
      <c r="S11" s="277" t="str">
        <f t="shared" ref="S11:S21" si="9">B11</f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[23]Brewhouse!$A277</f>
        <v>CA174</v>
      </c>
      <c r="D12" s="279">
        <f>[23]Brewhouse!$AF277</f>
        <v>53.8</v>
      </c>
      <c r="E12" s="279">
        <f>[23]Brewhouse!$AI277</f>
        <v>50.5</v>
      </c>
      <c r="F12" s="278">
        <f>[23]Brewhouse!$V277</f>
        <v>67</v>
      </c>
      <c r="G12" s="279">
        <f>[23]Brewhouse!$AG277</f>
        <v>11.8</v>
      </c>
      <c r="H12" s="396">
        <v>11.8</v>
      </c>
      <c r="I12" s="368">
        <f>[23]Brewhouse!$AU277</f>
        <v>97.751802809548707</v>
      </c>
      <c r="J12" s="368">
        <f>[23]Brewhouse!$AV277</f>
        <v>99.367984094438157</v>
      </c>
      <c r="K12" s="281">
        <f>[23]Brewhouse!$Q277</f>
        <v>5.8865248226950362</v>
      </c>
      <c r="L12" s="276">
        <f>[23]Brewhouse!$P277</f>
        <v>63</v>
      </c>
      <c r="M12" s="397">
        <f>[23]Brewhouse!$U277-[23]Brewhouse!$T277</f>
        <v>0.12222222222222223</v>
      </c>
      <c r="N12" s="370">
        <f>[23]Brewhouse!$Z277</f>
        <v>0.30347222222222225</v>
      </c>
      <c r="O12" s="371" t="str">
        <f>[23]Brewhouse!$AX277</f>
        <v>K.Benjamin</v>
      </c>
      <c r="P12" s="441"/>
      <c r="Q12" s="347"/>
      <c r="S12" s="277" t="str">
        <f t="shared" si="9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41"/>
      <c r="Q13" s="347"/>
      <c r="S13" s="277"/>
      <c r="T13" s="296"/>
      <c r="U13" s="296"/>
      <c r="V13" s="297"/>
      <c r="W13" s="297"/>
      <c r="X13" s="297"/>
      <c r="Y13" s="297"/>
      <c r="Z13" s="297"/>
      <c r="AA13" s="296"/>
    </row>
    <row r="14" spans="2:30" ht="15.75" customHeight="1">
      <c r="B14" s="33" t="s">
        <v>9</v>
      </c>
      <c r="C14" s="366" t="str">
        <f>[24]Brewhouse!$A109</f>
        <v>ST093</v>
      </c>
      <c r="D14" s="279">
        <f>[24]Brewhouse!$AD109</f>
        <v>53.8</v>
      </c>
      <c r="E14" s="279">
        <f>[24]Brewhouse!$AG109</f>
        <v>50.9</v>
      </c>
      <c r="F14" s="278">
        <f>[24]Brewhouse!$V109</f>
        <v>76</v>
      </c>
      <c r="G14" s="279">
        <f>[24]Brewhouse!$AE109</f>
        <v>11.6</v>
      </c>
      <c r="H14" s="396">
        <v>11.7</v>
      </c>
      <c r="I14" s="416">
        <f>[24]Brewhouse!$AS109</f>
        <v>98.026213210604823</v>
      </c>
      <c r="J14" s="416">
        <f>[24]Brewhouse!$AT109</f>
        <v>99.367631242337296</v>
      </c>
      <c r="K14" s="398">
        <f>[24]Brewhouse!$Q109</f>
        <v>3.8181818181818206</v>
      </c>
      <c r="L14" s="276">
        <f>[24]Brewhouse!$P109</f>
        <v>60</v>
      </c>
      <c r="M14" s="374">
        <f>[24]Brewhouse!$U109-[24]Brewhouse!$T109</f>
        <v>0.12569444444444444</v>
      </c>
      <c r="N14" s="370">
        <f>[24]Brewhouse!$AW109</f>
        <v>0.26944444444444449</v>
      </c>
      <c r="O14" s="417" t="str">
        <f>[24]Brewhouse!$AV109</f>
        <v>K. Benjamin</v>
      </c>
      <c r="P14" s="441"/>
      <c r="Q14" s="347"/>
      <c r="S14" s="277" t="str">
        <f t="shared" si="9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33" t="s">
        <v>9</v>
      </c>
      <c r="C15" s="366" t="str">
        <f>[24]Brewhouse!$A110</f>
        <v>ST094</v>
      </c>
      <c r="D15" s="279">
        <f>[24]Brewhouse!$AD110</f>
        <v>53.7</v>
      </c>
      <c r="E15" s="279">
        <f>[24]Brewhouse!$AG110</f>
        <v>50.5</v>
      </c>
      <c r="F15" s="278">
        <f>[24]Brewhouse!$V110</f>
        <v>79</v>
      </c>
      <c r="G15" s="279">
        <f>[24]Brewhouse!$AE110</f>
        <v>11.8</v>
      </c>
      <c r="H15" s="396">
        <v>11.8</v>
      </c>
      <c r="I15" s="416">
        <f>[24]Brewhouse!$AS110</f>
        <v>98.897348757551114</v>
      </c>
      <c r="J15" s="416">
        <f>[24]Brewhouse!$AT110</f>
        <v>100.2511289412559</v>
      </c>
      <c r="K15" s="398">
        <f>[24]Brewhouse!$Q110</f>
        <v>3.9999999999999925</v>
      </c>
      <c r="L15" s="276">
        <f>[24]Brewhouse!$P110</f>
        <v>60</v>
      </c>
      <c r="M15" s="374">
        <f>[24]Brewhouse!$U110-[24]Brewhouse!$T110</f>
        <v>0.12638888888888888</v>
      </c>
      <c r="N15" s="370">
        <f>[24]Brewhouse!$AW110</f>
        <v>0.26805555555555549</v>
      </c>
      <c r="O15" s="417" t="str">
        <f>[24]Brewhouse!$AV110</f>
        <v>R. Regis</v>
      </c>
      <c r="P15" s="441"/>
      <c r="Q15" s="347"/>
      <c r="S15" s="277" t="str">
        <f t="shared" si="9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33"/>
      <c r="C16" s="366"/>
      <c r="D16" s="279"/>
      <c r="E16" s="279"/>
      <c r="F16" s="278"/>
      <c r="G16" s="279"/>
      <c r="H16" s="396"/>
      <c r="I16" s="416"/>
      <c r="J16" s="416"/>
      <c r="K16" s="398"/>
      <c r="L16" s="276"/>
      <c r="M16" s="374"/>
      <c r="N16" s="370"/>
      <c r="O16" s="417"/>
      <c r="P16" s="441"/>
      <c r="Q16" s="347"/>
      <c r="S16" s="277"/>
      <c r="T16" s="296"/>
      <c r="U16" s="296"/>
      <c r="V16" s="297"/>
      <c r="W16" s="297"/>
      <c r="X16" s="297"/>
      <c r="Y16" s="297"/>
      <c r="Z16" s="297"/>
      <c r="AA16" s="296"/>
    </row>
    <row r="17" spans="1:27" ht="15.75" customHeight="1">
      <c r="B17" s="438">
        <v>45724</v>
      </c>
      <c r="C17" s="366"/>
      <c r="D17" s="279"/>
      <c r="E17" s="279"/>
      <c r="F17" s="278"/>
      <c r="G17" s="279"/>
      <c r="H17" s="396"/>
      <c r="I17" s="416"/>
      <c r="J17" s="416"/>
      <c r="K17" s="398"/>
      <c r="L17" s="276"/>
      <c r="M17" s="374"/>
      <c r="N17" s="370"/>
      <c r="O17" s="417"/>
      <c r="P17" s="441"/>
      <c r="Q17" s="347"/>
      <c r="S17" s="277"/>
      <c r="T17" s="296"/>
      <c r="U17" s="296"/>
      <c r="V17" s="297"/>
      <c r="W17" s="297"/>
      <c r="X17" s="297"/>
      <c r="Y17" s="297"/>
      <c r="Z17" s="297"/>
      <c r="AA17" s="296"/>
    </row>
    <row r="18" spans="1:27" ht="15.75" customHeight="1">
      <c r="B18" s="33" t="s">
        <v>9</v>
      </c>
      <c r="C18" s="366" t="str">
        <f>[24]Brewhouse!$A111</f>
        <v>ST095</v>
      </c>
      <c r="D18" s="279">
        <f>[24]Brewhouse!$AD111</f>
        <v>54.9</v>
      </c>
      <c r="E18" s="279">
        <f>[24]Brewhouse!$AG111</f>
        <v>49.9</v>
      </c>
      <c r="F18" s="278">
        <f>[24]Brewhouse!$V111</f>
        <v>61</v>
      </c>
      <c r="G18" s="279">
        <f>[24]Brewhouse!$AE111</f>
        <v>12</v>
      </c>
      <c r="H18" s="396">
        <v>11.9</v>
      </c>
      <c r="I18" s="416">
        <f>[24]Brewhouse!$AS111</f>
        <v>98.846181723282257</v>
      </c>
      <c r="J18" s="416">
        <f>[24]Brewhouse!$AT111</f>
        <v>100.20145040969555</v>
      </c>
      <c r="K18" s="398">
        <f>[24]Brewhouse!$Q111</f>
        <v>0.75329566854990315</v>
      </c>
      <c r="L18" s="276">
        <f>[24]Brewhouse!$P111</f>
        <v>57</v>
      </c>
      <c r="M18" s="374">
        <f>[24]Brewhouse!$U111-[24]Brewhouse!$T111</f>
        <v>0.1166666666666667</v>
      </c>
      <c r="N18" s="370">
        <f>[24]Brewhouse!$AW111</f>
        <v>0.26111111111111113</v>
      </c>
      <c r="O18" s="417" t="str">
        <f>[24]Brewhouse!$AV111</f>
        <v>R.Sookram</v>
      </c>
      <c r="P18" s="441"/>
      <c r="Q18" s="347"/>
      <c r="S18" s="277" t="str">
        <f t="shared" si="9"/>
        <v>STAG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1:27" ht="15.75" customHeight="1">
      <c r="B19" s="33" t="s">
        <v>9</v>
      </c>
      <c r="C19" s="366" t="str">
        <f>[24]Brewhouse!$A112</f>
        <v>ST096</v>
      </c>
      <c r="D19" s="279">
        <f>[24]Brewhouse!$AD112</f>
        <v>53.9</v>
      </c>
      <c r="E19" s="279">
        <f>[24]Brewhouse!$AG112</f>
        <v>50.5</v>
      </c>
      <c r="F19" s="278">
        <f>[24]Brewhouse!$V112</f>
        <v>67</v>
      </c>
      <c r="G19" s="279">
        <f>[24]Brewhouse!$AE112</f>
        <v>11.9</v>
      </c>
      <c r="H19" s="396">
        <v>11.9</v>
      </c>
      <c r="I19" s="416">
        <f>[24]Brewhouse!$AS112</f>
        <v>99.65424616729544</v>
      </c>
      <c r="J19" s="416">
        <f>[24]Brewhouse!$AT112</f>
        <v>101.01883088375219</v>
      </c>
      <c r="K19" s="398">
        <f>[24]Brewhouse!$Q112</f>
        <v>6.2615101289134421</v>
      </c>
      <c r="L19" s="276">
        <f>[24]Brewhouse!$P112</f>
        <v>60</v>
      </c>
      <c r="M19" s="374">
        <f>[24]Brewhouse!$U112-[24]Brewhouse!$T112</f>
        <v>0.12222222222222223</v>
      </c>
      <c r="N19" s="370">
        <f>[24]Brewhouse!$AW112</f>
        <v>0.29930555555555555</v>
      </c>
      <c r="O19" s="417" t="str">
        <f>[24]Brewhouse!$AV112</f>
        <v>R.Sookram</v>
      </c>
      <c r="P19" s="441"/>
      <c r="Q19" s="347"/>
      <c r="S19" s="277" t="str">
        <f t="shared" si="9"/>
        <v>STAG</v>
      </c>
      <c r="T19" s="296">
        <f t="shared" si="1"/>
        <v>11.6</v>
      </c>
      <c r="U19" s="296">
        <f t="shared" si="2"/>
        <v>12</v>
      </c>
      <c r="V19" s="297">
        <f t="shared" si="3"/>
        <v>0</v>
      </c>
      <c r="W19" s="297">
        <f t="shared" si="4"/>
        <v>0.118055555555556</v>
      </c>
      <c r="X19" s="297">
        <f t="shared" si="5"/>
        <v>0.22569444444444445</v>
      </c>
      <c r="Y19" s="297">
        <f t="shared" si="6"/>
        <v>0.2638888888888889</v>
      </c>
      <c r="Z19" s="297">
        <f t="shared" si="7"/>
        <v>0</v>
      </c>
      <c r="AA19" s="296">
        <f t="shared" si="8"/>
        <v>60</v>
      </c>
    </row>
    <row r="20" spans="1:27" ht="15.6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9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369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369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4.4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369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1:27" ht="15.75" customHeight="1" thickBot="1">
      <c r="B26" s="358"/>
      <c r="C26" s="358"/>
      <c r="D26" s="358"/>
      <c r="E26" s="358"/>
      <c r="F26" s="294"/>
      <c r="G26" s="294"/>
      <c r="H26" s="348"/>
      <c r="I26" s="481" t="s">
        <v>34</v>
      </c>
      <c r="J26" s="481"/>
      <c r="K26" s="481"/>
      <c r="L26" s="481"/>
      <c r="M26" s="481"/>
      <c r="N26" s="481"/>
      <c r="O26" s="1"/>
      <c r="P26" s="12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5" thickBot="1">
      <c r="B27" s="388" t="s">
        <v>145</v>
      </c>
      <c r="C27" s="388"/>
      <c r="D27" s="459" t="s">
        <v>35</v>
      </c>
      <c r="E27" s="460"/>
      <c r="F27" s="294"/>
      <c r="G27" s="294"/>
      <c r="H27" s="24" t="s">
        <v>17</v>
      </c>
      <c r="I27" s="25" t="s">
        <v>180</v>
      </c>
      <c r="J27" s="25" t="s">
        <v>181</v>
      </c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S27" s="277"/>
      <c r="T27" s="296"/>
      <c r="U27" s="296"/>
      <c r="V27" s="297"/>
      <c r="W27" s="297"/>
      <c r="X27" s="297"/>
      <c r="Y27" s="297"/>
      <c r="Z27" s="297"/>
      <c r="AA27" s="296"/>
    </row>
    <row r="28" spans="1:27" ht="15" customHeight="1">
      <c r="A28" s="28"/>
      <c r="B28" s="542" t="str">
        <f>H29</f>
        <v>STAG</v>
      </c>
      <c r="C28" s="362" cm="1">
        <f t="array" ref="C28:C31">[24]Process!$D$83:$D$86</f>
        <v>12.1</v>
      </c>
      <c r="D28" s="485">
        <v>11.88</v>
      </c>
      <c r="E28" s="486"/>
      <c r="F28" s="294"/>
      <c r="G28" s="294"/>
      <c r="H28" s="29" t="s">
        <v>6</v>
      </c>
      <c r="I28" s="280">
        <f>AVERAGE(I10:I15)</f>
        <v>98.371010485872574</v>
      </c>
      <c r="K28" s="284">
        <f>COUNTA([23]Brewhouse!$A$255:$A$277)</f>
        <v>23</v>
      </c>
      <c r="L28" s="302">
        <f>AVERAGE([23]Brewhouse!$AU$255:$AU$277)</f>
        <v>99.659712133396781</v>
      </c>
      <c r="M28" s="302">
        <f>AVERAGE([23]Brewhouse!$AU$102:$AU$171,[23]Brewhouse!$AU$173:$AU$253,[23]Brewhouse!$AU$255:$AU$277)</f>
        <v>96.142753059169991</v>
      </c>
      <c r="N28" s="30">
        <v>98</v>
      </c>
      <c r="O28" s="11"/>
      <c r="P28" s="31"/>
      <c r="S28" s="277"/>
      <c r="T28" s="296"/>
      <c r="U28" s="296"/>
      <c r="V28" s="297"/>
      <c r="W28" s="297"/>
      <c r="X28" s="297"/>
      <c r="Y28" s="297"/>
      <c r="Z28" s="297"/>
      <c r="AA28" s="296"/>
    </row>
    <row r="29" spans="1:27" ht="15" customHeight="1">
      <c r="A29" s="28"/>
      <c r="B29" s="543"/>
      <c r="C29" s="349">
        <v>12</v>
      </c>
      <c r="D29" s="487"/>
      <c r="E29" s="488"/>
      <c r="F29" s="294"/>
      <c r="G29" s="294"/>
      <c r="H29" s="33" t="s">
        <v>9</v>
      </c>
      <c r="I29" s="280"/>
      <c r="J29" s="280">
        <f>AVERAGE(I18:I19)</f>
        <v>99.250213945288849</v>
      </c>
      <c r="K29" s="284">
        <f>COUNTA([24]Brewhouse!$A$105:$A$112)</f>
        <v>8</v>
      </c>
      <c r="L29" s="302">
        <f>AVERAGE([24]Brewhouse!$AS$105:$AS$112)</f>
        <v>97.553056370532047</v>
      </c>
      <c r="M29" s="302">
        <f>AVERAGE([24]Brewhouse!$AS$15:$AS$64,[24]Brewhouse!$AS$66:$AS$103,[24]Brewhouse!$AS$105:$AS$112)</f>
        <v>96.026660652743928</v>
      </c>
      <c r="N29" s="30">
        <v>98</v>
      </c>
      <c r="O29" s="11"/>
      <c r="P29" s="31"/>
      <c r="S29" s="277"/>
      <c r="T29" s="296"/>
      <c r="U29" s="296"/>
      <c r="V29" s="297"/>
      <c r="W29" s="297"/>
      <c r="X29" s="297"/>
      <c r="Y29" s="297"/>
      <c r="Z29" s="297"/>
      <c r="AA29" s="296"/>
    </row>
    <row r="30" spans="1:27" ht="14.7" customHeight="1">
      <c r="A30" s="28"/>
      <c r="B30" s="543"/>
      <c r="C30" s="442">
        <v>12</v>
      </c>
      <c r="D30" s="545">
        <v>11.87</v>
      </c>
      <c r="E30" s="545"/>
      <c r="F30" s="294"/>
      <c r="G30" s="294"/>
      <c r="H30" s="34" t="s">
        <v>12</v>
      </c>
      <c r="I30" s="323"/>
      <c r="J30" s="280"/>
      <c r="K30" s="284"/>
      <c r="L30" s="302"/>
      <c r="M30" s="302">
        <f>AVERAGE([25]Brewhouse!$AU$4:$AU$7,[25]Brewhouse!$AU$9:$AU$22)</f>
        <v>96.218977154617249</v>
      </c>
      <c r="N30" s="30">
        <v>98</v>
      </c>
      <c r="O30" s="11"/>
      <c r="P30" s="31"/>
      <c r="S30" s="23"/>
      <c r="T30" s="1"/>
      <c r="U30" s="1"/>
      <c r="AA30" s="285"/>
    </row>
    <row r="31" spans="1:27" ht="14.7" customHeight="1">
      <c r="A31" s="28"/>
      <c r="B31" s="543"/>
      <c r="C31" s="349">
        <v>12</v>
      </c>
      <c r="D31" s="545">
        <v>11.6</v>
      </c>
      <c r="E31" s="545"/>
      <c r="F31" s="294"/>
      <c r="G31" s="294"/>
      <c r="H31" s="22" t="s">
        <v>33</v>
      </c>
      <c r="I31" s="280"/>
      <c r="J31" s="280"/>
      <c r="K31" s="284"/>
      <c r="L31" s="302"/>
      <c r="M31" s="302">
        <f>AVERAGE([26]Brewhouse!$AV$5:$AV$14,[26]Brewhouse!$AV$16:$AV$19)</f>
        <v>98.230957815544443</v>
      </c>
      <c r="N31" s="30">
        <v>98</v>
      </c>
      <c r="O31" s="11"/>
      <c r="P31" s="31"/>
      <c r="S31" s="23"/>
      <c r="T31" s="1"/>
      <c r="U31" s="1"/>
      <c r="AA31" s="285"/>
    </row>
    <row r="32" spans="1:27" ht="14.7" customHeight="1">
      <c r="A32" s="28"/>
      <c r="B32" s="543"/>
      <c r="C32" s="349"/>
      <c r="D32" s="485"/>
      <c r="E32" s="486"/>
      <c r="F32" s="294"/>
      <c r="G32" s="294"/>
      <c r="H32" s="35" t="s">
        <v>29</v>
      </c>
      <c r="I32" s="280"/>
      <c r="J32" s="280"/>
      <c r="K32" s="284"/>
      <c r="L32" s="302"/>
      <c r="M32" s="302"/>
      <c r="N32" s="30">
        <v>98</v>
      </c>
      <c r="O32" s="11"/>
      <c r="P32" s="31"/>
      <c r="S32" s="23"/>
    </row>
    <row r="33" spans="1:57" ht="14.7" customHeight="1">
      <c r="A33" s="28"/>
      <c r="B33" s="543"/>
      <c r="C33" s="349"/>
      <c r="D33" s="487"/>
      <c r="E33" s="488"/>
      <c r="F33" s="294"/>
      <c r="G33" s="294"/>
      <c r="H33" s="36" t="s">
        <v>15</v>
      </c>
      <c r="I33" s="323"/>
      <c r="J33" s="323"/>
      <c r="K33" s="284"/>
      <c r="L33" s="302"/>
      <c r="M33" s="302">
        <f>AVERAGE([27]Brewhouse!$AT$4:$AT$11)</f>
        <v>94.812616598822359</v>
      </c>
      <c r="N33" s="30">
        <v>98</v>
      </c>
      <c r="O33" s="11"/>
      <c r="P33" s="31"/>
      <c r="S33" s="23"/>
    </row>
    <row r="34" spans="1:57" ht="14.7" customHeight="1">
      <c r="A34" s="28"/>
      <c r="B34" s="543"/>
      <c r="C34" s="349"/>
      <c r="D34" s="485"/>
      <c r="E34" s="486"/>
      <c r="F34" s="294"/>
      <c r="G34" s="294"/>
      <c r="H34" s="37" t="s">
        <v>16</v>
      </c>
      <c r="I34" s="323"/>
      <c r="J34" s="323"/>
      <c r="K34" s="284">
        <f>COUNTA([22]Brewhouse!$A$22:$A$29)</f>
        <v>8</v>
      </c>
      <c r="L34" s="302">
        <f>AVERAGE([22]Brewhouse!$AY$22:$AY$29)</f>
        <v>98.065834237903474</v>
      </c>
      <c r="M34" s="302">
        <f>AVERAGE([22]Brewhouse!$AY$6:$AY$13,[22]Brewhouse!$AY$15:$AY$20,[22]Brewhouse!$AY$22:$AY$29)</f>
        <v>95.660462473217876</v>
      </c>
      <c r="N34" s="30">
        <v>98</v>
      </c>
      <c r="O34" s="11"/>
      <c r="P34" s="31" t="s">
        <v>41</v>
      </c>
      <c r="S34" s="23"/>
      <c r="X34" s="275" t="s">
        <v>41</v>
      </c>
    </row>
    <row r="35" spans="1:57" ht="14.7" customHeight="1">
      <c r="A35" s="28"/>
      <c r="B35" s="543"/>
      <c r="C35" s="349"/>
      <c r="D35" s="487"/>
      <c r="E35" s="488"/>
      <c r="F35" s="294"/>
      <c r="G35" s="294"/>
      <c r="H35" s="415" t="s">
        <v>158</v>
      </c>
      <c r="I35" s="326"/>
      <c r="J35" s="326"/>
      <c r="K35" s="284"/>
      <c r="L35" s="305"/>
      <c r="M35" s="305">
        <f>AVERAGE([28]Brewhouse!$AU$5:$AU$8)</f>
        <v>91.006888337619571</v>
      </c>
      <c r="N35" s="30">
        <v>98</v>
      </c>
      <c r="O35" s="11"/>
      <c r="P35" s="31"/>
      <c r="S35" s="23"/>
    </row>
    <row r="36" spans="1:57" ht="14.7" customHeight="1">
      <c r="A36" s="28"/>
      <c r="B36" s="543"/>
      <c r="C36" s="349"/>
      <c r="D36" s="485"/>
      <c r="E36" s="486"/>
      <c r="F36" s="294"/>
      <c r="G36" s="294"/>
      <c r="H36" s="414" t="s">
        <v>157</v>
      </c>
      <c r="I36" s="326"/>
      <c r="J36" s="326"/>
      <c r="K36" s="284"/>
      <c r="L36" s="305"/>
      <c r="M36" s="305"/>
      <c r="N36" s="30">
        <v>98</v>
      </c>
      <c r="O36" s="11"/>
      <c r="P36" s="31"/>
      <c r="S36" s="23"/>
    </row>
    <row r="37" spans="1:57" ht="15" customHeight="1" thickBot="1">
      <c r="A37" s="28"/>
      <c r="B37" s="543"/>
      <c r="C37" s="349"/>
      <c r="D37" s="487"/>
      <c r="E37" s="488"/>
      <c r="F37" s="294"/>
      <c r="G37" s="294"/>
      <c r="H37" s="410" t="s">
        <v>156</v>
      </c>
      <c r="I37" s="327"/>
      <c r="J37" s="327"/>
      <c r="K37" s="411"/>
      <c r="L37" s="412"/>
      <c r="M37" s="412"/>
      <c r="N37" s="413">
        <v>98</v>
      </c>
      <c r="O37" s="11"/>
      <c r="P37" s="31"/>
      <c r="S37" s="23"/>
    </row>
    <row r="38" spans="1:57" ht="15" customHeight="1" thickBot="1">
      <c r="A38" s="28"/>
      <c r="B38" s="543"/>
      <c r="C38" s="349"/>
      <c r="D38" s="485"/>
      <c r="E38" s="486"/>
      <c r="F38" s="294"/>
      <c r="G38" s="294"/>
      <c r="H38" s="32"/>
      <c r="I38" s="1"/>
      <c r="J38" s="39"/>
      <c r="K38" s="408">
        <f>SUM(K28:K37)</f>
        <v>39</v>
      </c>
      <c r="L38" s="409">
        <f>((L28*K28)+(L29*K29)+(L30*K30)+(L31*K31)+(L32*K32)+(K35*L35)+(L33*K33)+(L34*K34)+(L37*K37))/(K38)</f>
        <v>98.900628306041284</v>
      </c>
      <c r="M38" s="409">
        <f>AVERAGE('[29]Jan 31st'!$L$65,'[30]Feb 28th'!$L$35,L38)</f>
        <v>96.781201577813434</v>
      </c>
      <c r="N38" s="40">
        <v>98</v>
      </c>
      <c r="O38" s="11"/>
      <c r="P38" s="31"/>
      <c r="S38" s="23"/>
    </row>
    <row r="39" spans="1:57" ht="15" thickBot="1">
      <c r="B39" s="544"/>
      <c r="C39" s="350"/>
      <c r="D39" s="487"/>
      <c r="E39" s="488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S39" s="23"/>
    </row>
    <row r="40" spans="1:57" ht="15" thickBot="1">
      <c r="B40" s="539"/>
      <c r="C40" s="362"/>
      <c r="D40" s="498"/>
      <c r="E40" s="499"/>
      <c r="F40" s="43"/>
      <c r="G40" s="41"/>
      <c r="H40" s="41"/>
      <c r="I40" s="42"/>
      <c r="J40" s="501" t="s">
        <v>129</v>
      </c>
      <c r="K40" s="501"/>
      <c r="L40" s="294"/>
      <c r="M40" s="294"/>
      <c r="N40" s="294"/>
      <c r="O40" s="294"/>
      <c r="P40" s="12"/>
      <c r="S40" s="23" t="s">
        <v>41</v>
      </c>
    </row>
    <row r="41" spans="1:57" ht="13.5" customHeight="1" thickBot="1">
      <c r="B41" s="540"/>
      <c r="C41" s="349"/>
      <c r="D41" s="500"/>
      <c r="E41" s="488"/>
      <c r="F41" s="43"/>
      <c r="G41" s="41"/>
      <c r="H41" s="41"/>
      <c r="I41" s="418" t="s">
        <v>17</v>
      </c>
      <c r="J41" s="293" t="s">
        <v>178</v>
      </c>
      <c r="K41" s="293" t="s">
        <v>179</v>
      </c>
      <c r="L41" s="502" t="s">
        <v>136</v>
      </c>
      <c r="M41" s="502"/>
      <c r="N41" s="503"/>
      <c r="O41" s="294"/>
      <c r="P41" s="12"/>
      <c r="S41" s="23"/>
    </row>
    <row r="42" spans="1:57" ht="15" customHeight="1" thickBot="1">
      <c r="B42" s="540"/>
      <c r="C42" s="349"/>
      <c r="D42" s="504"/>
      <c r="E42" s="486"/>
      <c r="F42" s="43"/>
      <c r="G42" s="41"/>
      <c r="H42" s="41"/>
      <c r="I42" s="419" t="s">
        <v>6</v>
      </c>
      <c r="J42" s="324">
        <f>COUNTA(B10:B12)</f>
        <v>3</v>
      </c>
      <c r="K42" s="324"/>
      <c r="L42" s="343" t="s">
        <v>37</v>
      </c>
      <c r="M42" s="307" t="s">
        <v>38</v>
      </c>
      <c r="N42" s="307" t="s">
        <v>84</v>
      </c>
      <c r="O42" s="294"/>
      <c r="P42" s="12"/>
      <c r="S42" s="23"/>
    </row>
    <row r="43" spans="1:57" ht="15.75" customHeight="1" thickBot="1">
      <c r="B43" s="540"/>
      <c r="C43" s="349"/>
      <c r="D43" s="500"/>
      <c r="E43" s="488"/>
      <c r="F43" s="43"/>
      <c r="G43" s="41"/>
      <c r="H43" s="41"/>
      <c r="I43" s="420" t="s">
        <v>9</v>
      </c>
      <c r="J43" s="324">
        <f>COUNTA(B14:B15)</f>
        <v>2</v>
      </c>
      <c r="K43" s="324">
        <f>COUNTA(B18:B19)</f>
        <v>2</v>
      </c>
      <c r="L43" s="344">
        <f>AVERAGE('Mar. 3rd'!K80,'Mar. 4th'!K81,'Mar. 5th '!K50,'Mar. 6th'!K50,J52,K52)</f>
        <v>6.5</v>
      </c>
      <c r="M43" s="325">
        <f>AVERAGE('[29]Jan 29th '!$M$70,'[30]Feb 28th'!$L$40,L43)</f>
        <v>6.6703296703296706</v>
      </c>
      <c r="N43" s="400"/>
      <c r="O43" s="294"/>
      <c r="P43" s="12"/>
      <c r="S43" s="23"/>
    </row>
    <row r="44" spans="1:57" ht="15" customHeight="1">
      <c r="B44" s="540"/>
      <c r="C44" s="349"/>
      <c r="D44" s="504"/>
      <c r="E44" s="486"/>
      <c r="F44" s="43"/>
      <c r="G44" s="41"/>
      <c r="H44" s="41"/>
      <c r="I44" s="421" t="s">
        <v>40</v>
      </c>
      <c r="J44" s="324"/>
      <c r="K44" s="324"/>
      <c r="L44" s="294"/>
      <c r="M44" s="294"/>
      <c r="N44" s="294"/>
      <c r="O44" s="294"/>
      <c r="P44" s="12"/>
      <c r="S44" s="23"/>
    </row>
    <row r="45" spans="1:57" ht="15" customHeight="1">
      <c r="B45" s="540"/>
      <c r="C45" s="349"/>
      <c r="D45" s="500"/>
      <c r="E45" s="488"/>
      <c r="F45" s="43"/>
      <c r="G45" s="41"/>
      <c r="H45" s="41"/>
      <c r="I45" s="422" t="s">
        <v>33</v>
      </c>
      <c r="J45" s="324"/>
      <c r="K45" s="324"/>
      <c r="L45" s="294"/>
      <c r="M45" s="294"/>
      <c r="N45" s="294"/>
      <c r="O45" s="294"/>
      <c r="P45" s="12"/>
      <c r="S45" s="23"/>
    </row>
    <row r="46" spans="1:57" ht="14.4">
      <c r="B46" s="540"/>
      <c r="C46" s="349"/>
      <c r="D46" s="504"/>
      <c r="E46" s="486"/>
      <c r="F46" s="43"/>
      <c r="G46" s="41"/>
      <c r="H46" s="41"/>
      <c r="I46" s="423" t="s">
        <v>16</v>
      </c>
      <c r="J46" s="324"/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4.4">
      <c r="B47" s="540"/>
      <c r="C47" s="349"/>
      <c r="D47" s="500"/>
      <c r="E47" s="488"/>
      <c r="F47" s="43"/>
      <c r="G47" s="41"/>
      <c r="H47" s="41"/>
      <c r="I47" s="424" t="s">
        <v>15</v>
      </c>
      <c r="J47" s="324"/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4.4">
      <c r="B48" s="540"/>
      <c r="C48" s="349"/>
      <c r="D48" s="505"/>
      <c r="E48" s="490"/>
      <c r="F48" s="43"/>
      <c r="G48" s="41"/>
      <c r="H48" s="41"/>
      <c r="I48" s="424" t="s">
        <v>149</v>
      </c>
      <c r="J48" s="324"/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" thickBot="1">
      <c r="B49" s="541"/>
      <c r="C49" s="350"/>
      <c r="D49" s="506"/>
      <c r="E49" s="507"/>
      <c r="F49" s="43"/>
      <c r="G49" s="41"/>
      <c r="H49" s="41"/>
      <c r="I49" s="424" t="s">
        <v>148</v>
      </c>
      <c r="J49" s="324"/>
      <c r="K49" s="324"/>
      <c r="L49" s="294"/>
      <c r="M49" s="294"/>
      <c r="N49" s="294"/>
      <c r="O49" s="294"/>
      <c r="P49" s="12"/>
      <c r="S49" s="23"/>
      <c r="BD49" s="44"/>
      <c r="BE49" s="44"/>
    </row>
    <row r="50" spans="2:58" ht="17.7" customHeight="1" thickBot="1">
      <c r="B50" s="312" t="s">
        <v>139</v>
      </c>
      <c r="C50" s="313"/>
      <c r="D50" s="508">
        <f>AVERAGE(D28:E49)</f>
        <v>11.783333333333333</v>
      </c>
      <c r="E50" s="509"/>
      <c r="F50" s="43"/>
      <c r="G50" s="41"/>
      <c r="H50" s="41"/>
      <c r="I50" s="425" t="s">
        <v>134</v>
      </c>
      <c r="J50" s="324"/>
      <c r="K50" s="324"/>
      <c r="L50" s="294"/>
      <c r="M50" s="294"/>
      <c r="N50" s="294"/>
      <c r="O50" s="294"/>
      <c r="P50" s="12"/>
      <c r="S50" s="23"/>
      <c r="BD50" s="44"/>
      <c r="BE50" s="44"/>
    </row>
    <row r="51" spans="2:58" ht="17.7" customHeight="1">
      <c r="B51" s="363"/>
      <c r="C51" s="364"/>
      <c r="D51" s="365"/>
      <c r="E51" s="365"/>
      <c r="F51" s="43"/>
      <c r="G51" s="41"/>
      <c r="H51" s="41"/>
      <c r="I51" s="425" t="s">
        <v>131</v>
      </c>
      <c r="J51" s="324"/>
      <c r="K51" s="324"/>
      <c r="L51" s="294"/>
      <c r="M51" s="294"/>
      <c r="N51" s="294"/>
      <c r="O51" s="294"/>
      <c r="P51" s="12"/>
      <c r="S51" s="23"/>
      <c r="BD51" s="44"/>
      <c r="BE51" s="44"/>
    </row>
    <row r="52" spans="2:58" ht="15.75" customHeight="1">
      <c r="B52" s="45"/>
      <c r="C52" s="11"/>
      <c r="D52" s="11"/>
      <c r="E52" s="46"/>
      <c r="F52" s="23"/>
      <c r="G52" s="11"/>
      <c r="H52" s="41"/>
      <c r="I52" s="426" t="s">
        <v>130</v>
      </c>
      <c r="J52" s="324">
        <f>SUM(J42:J51)</f>
        <v>5</v>
      </c>
      <c r="K52" s="324">
        <f>SUM(K42:K51)</f>
        <v>2</v>
      </c>
      <c r="L52" s="294"/>
      <c r="M52" s="294"/>
      <c r="N52" s="294"/>
      <c r="O52" s="294"/>
      <c r="P52" s="12"/>
    </row>
    <row r="53" spans="2:58" ht="20.25" customHeight="1">
      <c r="B53" s="15" t="s">
        <v>42</v>
      </c>
      <c r="C53" s="1" t="s">
        <v>43</v>
      </c>
      <c r="D53" s="1"/>
      <c r="E53" s="1"/>
      <c r="I53" s="42"/>
      <c r="L53" s="294"/>
      <c r="P53" s="334"/>
    </row>
    <row r="54" spans="2:58" ht="15" customHeight="1" thickBot="1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8"/>
      <c r="O54" s="48"/>
      <c r="P54" s="49"/>
      <c r="X54" s="275" t="s">
        <v>41</v>
      </c>
    </row>
    <row r="55" spans="2:58" ht="15" customHeight="1" thickBot="1">
      <c r="B55" s="510" t="s">
        <v>17</v>
      </c>
      <c r="C55" s="510" t="s">
        <v>44</v>
      </c>
      <c r="D55" s="512" t="s">
        <v>45</v>
      </c>
      <c r="E55" s="467" t="s">
        <v>46</v>
      </c>
      <c r="F55" s="527" t="s">
        <v>47</v>
      </c>
      <c r="G55" s="521" t="s">
        <v>48</v>
      </c>
      <c r="H55" s="510" t="s">
        <v>49</v>
      </c>
      <c r="I55" s="510" t="s">
        <v>50</v>
      </c>
      <c r="J55" s="515" t="s">
        <v>28</v>
      </c>
      <c r="K55" s="465" t="s">
        <v>51</v>
      </c>
      <c r="L55" s="477" t="s">
        <v>52</v>
      </c>
      <c r="M55" s="515" t="s">
        <v>53</v>
      </c>
      <c r="N55" s="77"/>
      <c r="O55" s="13"/>
      <c r="P55" s="50"/>
    </row>
    <row r="56" spans="2:58" ht="28.5" customHeight="1" thickTop="1" thickBot="1">
      <c r="B56" s="511"/>
      <c r="C56" s="511"/>
      <c r="D56" s="513"/>
      <c r="E56" s="514"/>
      <c r="F56" s="528"/>
      <c r="G56" s="522"/>
      <c r="H56" s="511"/>
      <c r="I56" s="511"/>
      <c r="J56" s="516"/>
      <c r="K56" s="525"/>
      <c r="L56" s="526"/>
      <c r="M56" s="516"/>
      <c r="N56" s="77"/>
      <c r="O56" s="13"/>
      <c r="P56" s="50"/>
      <c r="Q56" s="355"/>
      <c r="R56" s="355"/>
      <c r="S56" s="355"/>
      <c r="T56" s="355"/>
      <c r="U56" s="51">
        <v>43466</v>
      </c>
      <c r="V56" s="51">
        <v>43467</v>
      </c>
      <c r="W56" s="51">
        <v>43468</v>
      </c>
      <c r="X56" s="51">
        <v>43469</v>
      </c>
      <c r="Y56" s="51">
        <v>43470</v>
      </c>
      <c r="Z56" s="51">
        <v>43471</v>
      </c>
      <c r="AA56" s="51">
        <v>43472</v>
      </c>
      <c r="AB56" s="51">
        <v>43473</v>
      </c>
      <c r="AC56" s="51">
        <v>43474</v>
      </c>
      <c r="AD56" s="51">
        <v>43475</v>
      </c>
      <c r="AE56" s="51">
        <v>43476</v>
      </c>
      <c r="AF56" s="51">
        <v>43477</v>
      </c>
      <c r="AG56" s="51">
        <v>43478</v>
      </c>
      <c r="AH56" s="51">
        <v>43479</v>
      </c>
      <c r="AI56" s="51">
        <v>43480</v>
      </c>
      <c r="AJ56" s="51">
        <v>43481</v>
      </c>
      <c r="AK56" s="51">
        <v>43482</v>
      </c>
      <c r="AL56" s="51">
        <v>43483</v>
      </c>
      <c r="AM56" s="51">
        <v>43484</v>
      </c>
      <c r="AN56" s="51">
        <v>43485</v>
      </c>
      <c r="AO56" s="51">
        <v>43486</v>
      </c>
      <c r="AP56" s="51">
        <v>43487</v>
      </c>
      <c r="AQ56" s="51">
        <v>43488</v>
      </c>
      <c r="AR56" s="51">
        <v>43489</v>
      </c>
      <c r="AS56" s="51">
        <v>43490</v>
      </c>
      <c r="AT56" s="51">
        <v>43491</v>
      </c>
      <c r="AU56" s="51">
        <v>43492</v>
      </c>
      <c r="AV56" s="51">
        <v>43493</v>
      </c>
      <c r="AW56" s="51">
        <v>43494</v>
      </c>
      <c r="AX56" s="51">
        <v>43495</v>
      </c>
      <c r="AY56" s="51">
        <v>43496</v>
      </c>
    </row>
    <row r="57" spans="2:58" s="54" customFormat="1" ht="56.4" customHeight="1" thickBot="1">
      <c r="B57" s="435" t="str">
        <f>I43</f>
        <v>STAG</v>
      </c>
      <c r="C57" s="283">
        <v>45723</v>
      </c>
      <c r="D57" s="377">
        <f>[31]March_2025!$J$13</f>
        <v>201.5</v>
      </c>
      <c r="E57" s="378"/>
      <c r="F57" s="379">
        <f>SUM([32]STAG!$L$7:$L$10)</f>
        <v>196.3</v>
      </c>
      <c r="G57" s="303">
        <f>[31]March_2025!$J$17</f>
        <v>184.70000000000002</v>
      </c>
      <c r="H57" s="320">
        <f>(D57-F57)/D57*100</f>
        <v>2.5806451612903172</v>
      </c>
      <c r="I57" s="322">
        <f>((F57+E57)-G57)/(F57+E57)*100</f>
        <v>5.9093224656138528</v>
      </c>
      <c r="J57" s="390" t="s">
        <v>182</v>
      </c>
      <c r="K57" s="433">
        <f>[33]March_2025!$J$25</f>
        <v>0.46175000000000005</v>
      </c>
      <c r="L57" s="314">
        <f>(((D57+E57)-G57)/(D57+E57))*100</f>
        <v>8.3374689826302646</v>
      </c>
      <c r="M57" s="357" t="s">
        <v>166</v>
      </c>
      <c r="N57" s="13"/>
      <c r="O57" s="13"/>
      <c r="P57" s="50"/>
      <c r="T57" s="272" t="s">
        <v>54</v>
      </c>
      <c r="U57" s="279"/>
      <c r="V57" s="279"/>
      <c r="W57" s="279"/>
      <c r="X57" s="279"/>
      <c r="Y57" s="279"/>
      <c r="Z57" s="279"/>
      <c r="AA57" s="279"/>
      <c r="AB57" s="279"/>
      <c r="AC57" s="279"/>
      <c r="AD57" s="279"/>
      <c r="AE57" s="279"/>
      <c r="AF57" s="279"/>
      <c r="AG57" s="279"/>
      <c r="AH57" s="279"/>
      <c r="AI57" s="279"/>
      <c r="AJ57" s="279"/>
      <c r="AK57" s="279"/>
      <c r="AL57" s="279"/>
      <c r="AM57" s="279"/>
      <c r="AN57" s="279"/>
      <c r="AO57" s="279"/>
      <c r="AP57" s="279"/>
      <c r="AQ57" s="279"/>
      <c r="AR57" s="279"/>
      <c r="AS57" s="279"/>
      <c r="AT57" s="279"/>
      <c r="AU57" s="279"/>
      <c r="AV57" s="279"/>
      <c r="AW57" s="279"/>
      <c r="AX57" s="279"/>
    </row>
    <row r="58" spans="2:58" s="54" customFormat="1" ht="18.75" customHeight="1" thickBot="1">
      <c r="B58" s="387"/>
      <c r="C58" s="283"/>
      <c r="D58" s="279"/>
      <c r="E58" s="279"/>
      <c r="F58" s="279"/>
      <c r="G58" s="279"/>
      <c r="H58" s="320"/>
      <c r="I58" s="322"/>
      <c r="J58" s="389"/>
      <c r="K58" s="434"/>
      <c r="L58" s="314"/>
      <c r="M58" s="384"/>
      <c r="N58" s="13"/>
      <c r="O58" s="13"/>
      <c r="P58" s="50"/>
      <c r="T58" s="272" t="s">
        <v>51</v>
      </c>
      <c r="U58" s="57" t="e">
        <f>[20]January_2019!D8</f>
        <v>#DIV/0!</v>
      </c>
      <c r="V58" s="57">
        <f>[20]January_2019!E8</f>
        <v>1.0319298245614037</v>
      </c>
      <c r="W58" s="57">
        <f>[20]January_2019!F8</f>
        <v>1.7789473684210526</v>
      </c>
      <c r="X58" s="57">
        <f>[20]January_2019!G8</f>
        <v>0.51929824561403504</v>
      </c>
      <c r="Y58" s="57" t="e">
        <f>[20]January_2019!H8</f>
        <v>#DIV/0!</v>
      </c>
      <c r="Z58" s="57" t="e">
        <f>[20]January_2019!I8</f>
        <v>#DIV/0!</v>
      </c>
      <c r="AA58" s="57">
        <f>[20]January_2019!J8</f>
        <v>1.365263157894737</v>
      </c>
      <c r="AB58" s="57" t="e">
        <f>[20]January_2019!K8</f>
        <v>#DIV/0!</v>
      </c>
      <c r="AC58" s="57">
        <f>[20]January_2019!L8</f>
        <v>1.0028070175438597</v>
      </c>
      <c r="AD58" s="57">
        <f>[20]January_2019!M8</f>
        <v>1.7828070175438597</v>
      </c>
      <c r="AE58" s="57" t="e">
        <f>[20]January_2019!N8</f>
        <v>#DIV/0!</v>
      </c>
      <c r="AF58" s="57" t="e">
        <f>[20]January_2019!O8</f>
        <v>#DIV/0!</v>
      </c>
      <c r="AG58" s="57">
        <f>[20]January_2019!P8</f>
        <v>0.19222222222222221</v>
      </c>
      <c r="AH58" s="57">
        <f>[20]January_2019!Q8</f>
        <v>0.52219298245614032</v>
      </c>
      <c r="AI58" s="57">
        <f>[20]January_2019!R8</f>
        <v>0.42912280701754385</v>
      </c>
      <c r="AJ58" s="57" t="e">
        <f>[20]January_2019!S8</f>
        <v>#DIV/0!</v>
      </c>
      <c r="AK58" s="57">
        <f>[20]January_2019!T8</f>
        <v>1.0340350877192983</v>
      </c>
      <c r="AL58" s="57">
        <f>[20]January_2019!U8</f>
        <v>0.98421052631578942</v>
      </c>
      <c r="AM58" s="57" t="e">
        <f>[20]January_2019!V8</f>
        <v>#DIV/0!</v>
      </c>
      <c r="AN58" s="57" t="e">
        <f>[20]January_2019!W8</f>
        <v>#DIV/0!</v>
      </c>
      <c r="AO58" s="57">
        <f>[20]January_2019!X8</f>
        <v>0.66052631578947374</v>
      </c>
      <c r="AP58" s="57">
        <f>[20]January_2019!Y8</f>
        <v>1.0375438596491227</v>
      </c>
      <c r="AQ58" s="57">
        <f>[20]January_2019!Z8</f>
        <v>0.90456140350877201</v>
      </c>
      <c r="AR58" s="57">
        <f>[20]January_2019!AA8</f>
        <v>1.0217543859649123</v>
      </c>
      <c r="AS58" s="57">
        <f>[20]January_2019!AB8</f>
        <v>0.65614035087719302</v>
      </c>
      <c r="AT58" s="57" t="e">
        <f>[20]January_2019!AC8</f>
        <v>#DIV/0!</v>
      </c>
      <c r="AU58" s="57" t="e">
        <f>[20]January_2019!AD8</f>
        <v>#DIV/0!</v>
      </c>
      <c r="AV58" s="57">
        <f>[20]January_2019!AE8</f>
        <v>1.7021052631578948</v>
      </c>
      <c r="AW58" s="57">
        <f>[20]January_2019!AF8</f>
        <v>0.60192982456140354</v>
      </c>
      <c r="AX58" s="57">
        <f>[20]January_2019!AG8</f>
        <v>1.4870175438596491</v>
      </c>
      <c r="AY58" s="277" t="e">
        <f>[20]January_2019!AH8</f>
        <v>#DIV/0!</v>
      </c>
      <c r="AZ58" s="277"/>
      <c r="BA58" s="277"/>
      <c r="BB58" s="277"/>
      <c r="BC58" s="277"/>
      <c r="BD58" s="277"/>
      <c r="BE58" s="277"/>
      <c r="BF58" s="277"/>
    </row>
    <row r="59" spans="2:58" s="54" customFormat="1" ht="14.4" hidden="1" thickBot="1">
      <c r="B59" s="361"/>
      <c r="C59" s="283"/>
      <c r="D59" s="304"/>
      <c r="E59" s="279"/>
      <c r="F59" s="279"/>
      <c r="G59" s="279"/>
      <c r="H59" s="381"/>
      <c r="I59" s="382"/>
      <c r="J59" s="432"/>
      <c r="K59" s="376"/>
      <c r="L59" s="314"/>
      <c r="M59" s="354"/>
      <c r="N59" s="13"/>
      <c r="O59" s="13"/>
      <c r="P59" s="50"/>
      <c r="T59" s="272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277"/>
      <c r="AZ59" s="277"/>
      <c r="BA59" s="277"/>
      <c r="BB59" s="277"/>
      <c r="BC59" s="277"/>
      <c r="BD59" s="277"/>
      <c r="BE59" s="277"/>
      <c r="BF59" s="277"/>
    </row>
    <row r="60" spans="2:58" s="54" customFormat="1" ht="45.75" hidden="1" customHeight="1" thickBot="1">
      <c r="B60" s="427"/>
      <c r="C60" s="283"/>
      <c r="D60" s="279"/>
      <c r="E60" s="279"/>
      <c r="F60" s="279"/>
      <c r="G60" s="279"/>
      <c r="H60" s="320"/>
      <c r="I60" s="322"/>
      <c r="J60" s="432"/>
      <c r="K60" s="286"/>
      <c r="L60" s="314"/>
      <c r="M60" s="384"/>
      <c r="N60" s="13"/>
      <c r="O60" s="13"/>
      <c r="P60" s="50"/>
      <c r="T60" s="272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277"/>
      <c r="AZ60" s="277"/>
      <c r="BA60" s="277"/>
      <c r="BB60" s="277"/>
      <c r="BC60" s="277"/>
      <c r="BD60" s="277"/>
      <c r="BE60" s="277"/>
      <c r="BF60" s="277"/>
    </row>
    <row r="61" spans="2:58" ht="11.4" hidden="1" customHeight="1" thickBot="1">
      <c r="B61" s="33"/>
      <c r="C61" s="310"/>
      <c r="D61" s="279"/>
      <c r="E61" s="279"/>
      <c r="F61" s="279"/>
      <c r="G61" s="279"/>
      <c r="H61" s="352"/>
      <c r="I61" s="353"/>
      <c r="J61" s="281"/>
      <c r="K61" s="52"/>
      <c r="L61" s="53"/>
      <c r="M61" s="55"/>
      <c r="N61" s="77"/>
      <c r="O61" s="13"/>
      <c r="P61" s="56"/>
    </row>
    <row r="62" spans="2:58" ht="14.4" thickBot="1">
      <c r="B62" s="58"/>
      <c r="C62" s="309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9"/>
      <c r="O62" s="56"/>
      <c r="P62" s="60"/>
    </row>
    <row r="63" spans="2:58" ht="14.4" thickBot="1">
      <c r="B63" s="517" t="s">
        <v>55</v>
      </c>
      <c r="C63" s="518"/>
      <c r="D63" s="518"/>
      <c r="E63" s="518"/>
      <c r="F63" s="519"/>
      <c r="G63" s="517" t="s">
        <v>56</v>
      </c>
      <c r="H63" s="518"/>
      <c r="I63" s="518"/>
      <c r="J63" s="519"/>
      <c r="K63" s="517" t="s">
        <v>51</v>
      </c>
      <c r="L63" s="518"/>
      <c r="M63" s="518"/>
      <c r="N63" s="520"/>
      <c r="O63" s="56"/>
      <c r="P63" s="50"/>
    </row>
    <row r="64" spans="2:58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/>
      <c r="D65" s="76">
        <v>7.679054885552544</v>
      </c>
      <c r="E65" s="76">
        <v>7.0356103080463335</v>
      </c>
      <c r="F65" s="66">
        <v>4.8</v>
      </c>
      <c r="G65" s="65"/>
      <c r="H65" s="76">
        <v>7.381724949596177</v>
      </c>
      <c r="I65" s="76">
        <v>7.4474791966380929</v>
      </c>
      <c r="J65" s="66">
        <v>4.8</v>
      </c>
      <c r="K65" s="67"/>
      <c r="L65" s="194">
        <v>0.93775000000000008</v>
      </c>
      <c r="M65" s="194">
        <v>0.84308880137426323</v>
      </c>
      <c r="N65" s="68">
        <v>1</v>
      </c>
      <c r="O65" s="56"/>
      <c r="P65" s="69"/>
    </row>
    <row r="66" spans="2:16">
      <c r="B66" s="33" t="s">
        <v>9</v>
      </c>
      <c r="C66" s="65">
        <f>L57</f>
        <v>8.3374689826302646</v>
      </c>
      <c r="D66" s="76">
        <v>8.2188358730951876</v>
      </c>
      <c r="E66" s="76">
        <v>6.9433565151554548</v>
      </c>
      <c r="F66" s="66">
        <v>4.8</v>
      </c>
      <c r="G66" s="65">
        <f>[31]March_2025!$J$21</f>
        <v>10.084808731968526</v>
      </c>
      <c r="H66" s="76">
        <v>9.4293875706034758</v>
      </c>
      <c r="I66" s="76">
        <v>7.164300983056143</v>
      </c>
      <c r="J66" s="66">
        <v>4.8</v>
      </c>
      <c r="K66" s="67">
        <f>K57</f>
        <v>0.46175000000000005</v>
      </c>
      <c r="L66" s="194">
        <v>0.68762500000000004</v>
      </c>
      <c r="M66" s="194">
        <v>0.7064697347564407</v>
      </c>
      <c r="N66" s="68">
        <v>1</v>
      </c>
      <c r="P66" s="69"/>
    </row>
    <row r="67" spans="2:16">
      <c r="B67" s="34" t="s">
        <v>40</v>
      </c>
      <c r="C67" s="65"/>
      <c r="D67" s="76">
        <v>7.5445173383317687</v>
      </c>
      <c r="E67" s="76">
        <v>12.682396771189062</v>
      </c>
      <c r="F67" s="66">
        <v>5.5</v>
      </c>
      <c r="G67" s="65"/>
      <c r="H67" s="76">
        <v>8.3720217865482667</v>
      </c>
      <c r="I67" s="76">
        <v>14.322773542755614</v>
      </c>
      <c r="J67" s="66">
        <v>5.5</v>
      </c>
      <c r="K67" s="67"/>
      <c r="L67" s="194">
        <v>0.98650000000000004</v>
      </c>
      <c r="M67" s="194">
        <v>0.56862100456621001</v>
      </c>
      <c r="N67" s="68">
        <v>1</v>
      </c>
      <c r="P67" s="69"/>
    </row>
    <row r="68" spans="2:16">
      <c r="B68" s="22" t="s">
        <v>33</v>
      </c>
      <c r="C68" s="65"/>
      <c r="D68" s="76"/>
      <c r="E68" s="76">
        <v>3.9190537266638161</v>
      </c>
      <c r="F68" s="66">
        <v>3.3</v>
      </c>
      <c r="G68" s="65"/>
      <c r="H68" s="76"/>
      <c r="I68" s="76">
        <v>5.345661717473071</v>
      </c>
      <c r="J68" s="66">
        <v>3.3</v>
      </c>
      <c r="K68" s="67"/>
      <c r="L68" s="194"/>
      <c r="M68" s="194">
        <v>0.78853801169590654</v>
      </c>
      <c r="N68" s="68">
        <v>1</v>
      </c>
      <c r="P68" s="69"/>
    </row>
    <row r="69" spans="2:16">
      <c r="B69" s="35" t="s">
        <v>29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8.7664670658682695</v>
      </c>
      <c r="F70" s="70">
        <f>[21]May_2022!$M$43</f>
        <v>3.4878406700073312</v>
      </c>
      <c r="G70" s="282"/>
      <c r="H70" s="76"/>
      <c r="I70" s="76">
        <v>10.607235567685406</v>
      </c>
      <c r="J70" s="66">
        <v>5.5</v>
      </c>
      <c r="K70" s="67"/>
      <c r="L70" s="194"/>
      <c r="M70" s="194">
        <v>0.66824561403508764</v>
      </c>
      <c r="N70" s="68">
        <v>1</v>
      </c>
      <c r="P70" s="69"/>
    </row>
    <row r="71" spans="2:16">
      <c r="B71" s="37" t="s">
        <v>16</v>
      </c>
      <c r="C71" s="65"/>
      <c r="D71" s="76">
        <v>3.2162295893122352</v>
      </c>
      <c r="E71" s="76">
        <v>2.483389608975052</v>
      </c>
      <c r="F71" s="66">
        <v>3.3</v>
      </c>
      <c r="G71" s="282"/>
      <c r="H71" s="76">
        <v>5.2379580553094636</v>
      </c>
      <c r="I71" s="76">
        <v>4.7281120363135472</v>
      </c>
      <c r="J71" s="66">
        <v>3.3</v>
      </c>
      <c r="K71" s="67"/>
      <c r="L71" s="194">
        <v>0.97799999999999998</v>
      </c>
      <c r="M71" s="194">
        <v>0.83672897196261686</v>
      </c>
      <c r="N71" s="71">
        <v>1</v>
      </c>
      <c r="P71" s="69"/>
    </row>
    <row r="72" spans="2:16" ht="14.4" thickBot="1">
      <c r="B72" s="38" t="s">
        <v>127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37" t="s">
        <v>165</v>
      </c>
      <c r="C73" s="65"/>
      <c r="D73" s="76"/>
      <c r="E73" s="76">
        <v>4.8792508624938291</v>
      </c>
      <c r="F73" s="66">
        <v>4.8</v>
      </c>
      <c r="G73" s="282"/>
      <c r="H73" s="76"/>
      <c r="I73" s="76">
        <v>6.2003723782925313</v>
      </c>
      <c r="J73" s="66">
        <v>4.8</v>
      </c>
      <c r="K73" s="67"/>
      <c r="L73" s="194"/>
      <c r="M73" s="194">
        <v>0.33859649122807017</v>
      </c>
      <c r="N73" s="71">
        <v>1</v>
      </c>
      <c r="O73" s="74"/>
      <c r="P73" s="75"/>
    </row>
    <row r="74" spans="2:16">
      <c r="D74" s="76">
        <v>7.0943457982161897</v>
      </c>
      <c r="E74" s="76">
        <v>7.0873382355110088</v>
      </c>
      <c r="F74" s="341">
        <v>4.5</v>
      </c>
      <c r="H74" s="76">
        <v>7.7287039805095752</v>
      </c>
      <c r="I74" s="76">
        <v>7.9061834599716274</v>
      </c>
      <c r="J74" s="341">
        <v>4.5</v>
      </c>
      <c r="L74" s="194">
        <v>0.86920833333333325</v>
      </c>
      <c r="M74" s="194">
        <v>0.76003037667071693</v>
      </c>
      <c r="N74" s="386">
        <v>1</v>
      </c>
    </row>
    <row r="78" spans="2:16">
      <c r="F78" s="315"/>
    </row>
    <row r="86" spans="30:30">
      <c r="AD86" s="275" t="s">
        <v>57</v>
      </c>
    </row>
  </sheetData>
  <mergeCells count="53">
    <mergeCell ref="I26:N26"/>
    <mergeCell ref="D27:E27"/>
    <mergeCell ref="X1:Y1"/>
    <mergeCell ref="Z1:AA1"/>
    <mergeCell ref="B2:O2"/>
    <mergeCell ref="M4:N4"/>
    <mergeCell ref="C5:D5"/>
    <mergeCell ref="T1:U1"/>
    <mergeCell ref="V1:W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28:B39"/>
    <mergeCell ref="D28:E29"/>
    <mergeCell ref="D32:E33"/>
    <mergeCell ref="D34:E35"/>
    <mergeCell ref="D36:E37"/>
    <mergeCell ref="D38:E39"/>
    <mergeCell ref="D30:E30"/>
    <mergeCell ref="D31:E31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3:F63"/>
    <mergeCell ref="G63:J63"/>
    <mergeCell ref="K63:N63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2494" priority="130" operator="notBetween">
      <formula>#REF!</formula>
      <formula>#REF!</formula>
    </cfRule>
  </conditionalFormatting>
  <conditionalFormatting sqref="C54">
    <cfRule type="cellIs" dxfId="2493" priority="162" stopIfTrue="1" operator="greaterThan">
      <formula>100</formula>
    </cfRule>
    <cfRule type="cellIs" dxfId="2492" priority="161" stopIfTrue="1" operator="lessThan">
      <formula>96</formula>
    </cfRule>
  </conditionalFormatting>
  <conditionalFormatting sqref="C65">
    <cfRule type="cellIs" dxfId="2491" priority="58" stopIfTrue="1" operator="greaterThan">
      <formula>$F65</formula>
    </cfRule>
  </conditionalFormatting>
  <conditionalFormatting sqref="C65:C66">
    <cfRule type="cellIs" dxfId="2490" priority="59" stopIfTrue="1" operator="lessThanOrEqual">
      <formula>0</formula>
    </cfRule>
  </conditionalFormatting>
  <conditionalFormatting sqref="C66">
    <cfRule type="cellIs" dxfId="2489" priority="165" stopIfTrue="1" operator="greaterThan">
      <formula>$F65</formula>
    </cfRule>
  </conditionalFormatting>
  <conditionalFormatting sqref="C67:C69">
    <cfRule type="cellIs" dxfId="2488" priority="86" stopIfTrue="1" operator="greaterThan">
      <formula>$F67</formula>
    </cfRule>
  </conditionalFormatting>
  <conditionalFormatting sqref="C67:C70">
    <cfRule type="cellIs" dxfId="2487" priority="109" stopIfTrue="1" operator="lessThanOrEqual">
      <formula>0</formula>
    </cfRule>
  </conditionalFormatting>
  <conditionalFormatting sqref="C70">
    <cfRule type="cellIs" dxfId="2486" priority="108" stopIfTrue="1" operator="greaterThan">
      <formula>$J70</formula>
    </cfRule>
  </conditionalFormatting>
  <conditionalFormatting sqref="C76:C80">
    <cfRule type="cellIs" dxfId="2485" priority="153" stopIfTrue="1" operator="lessThanOrEqual">
      <formula>0</formula>
    </cfRule>
  </conditionalFormatting>
  <conditionalFormatting sqref="C77:C80">
    <cfRule type="cellIs" dxfId="2484" priority="152" stopIfTrue="1" operator="greaterThan">
      <formula>$F$76</formula>
    </cfRule>
  </conditionalFormatting>
  <conditionalFormatting sqref="C82">
    <cfRule type="cellIs" dxfId="2483" priority="155" stopIfTrue="1" operator="lessThanOrEqual">
      <formula>0</formula>
    </cfRule>
    <cfRule type="cellIs" dxfId="2482" priority="154" stopIfTrue="1" operator="greaterThan">
      <formula>$F$76</formula>
    </cfRule>
  </conditionalFormatting>
  <conditionalFormatting sqref="C76:D76 D78:D84">
    <cfRule type="cellIs" dxfId="2481" priority="147" stopIfTrue="1" operator="greaterThan">
      <formula>4.5</formula>
    </cfRule>
  </conditionalFormatting>
  <conditionalFormatting sqref="D50:D51">
    <cfRule type="cellIs" dxfId="2480" priority="131" operator="notBetween">
      <formula>#REF!</formula>
      <formula>#REF!</formula>
    </cfRule>
  </conditionalFormatting>
  <conditionalFormatting sqref="D65:D72">
    <cfRule type="cellIs" dxfId="2479" priority="120" stopIfTrue="1" operator="lessThanOrEqual">
      <formula>0</formula>
    </cfRule>
  </conditionalFormatting>
  <conditionalFormatting sqref="D73">
    <cfRule type="cellIs" dxfId="2478" priority="119" stopIfTrue="1" operator="lessThanOrEqual">
      <formula>0</formula>
    </cfRule>
  </conditionalFormatting>
  <conditionalFormatting sqref="D76 D78:D84">
    <cfRule type="cellIs" dxfId="2477" priority="148" stopIfTrue="1" operator="lessThanOrEqual">
      <formula>0</formula>
    </cfRule>
  </conditionalFormatting>
  <conditionalFormatting sqref="D77">
    <cfRule type="cellIs" dxfId="2476" priority="139" stopIfTrue="1" operator="greaterThan">
      <formula>$F$76</formula>
    </cfRule>
    <cfRule type="cellIs" dxfId="2475" priority="140" stopIfTrue="1" operator="lessThanOrEqual">
      <formula>0</formula>
    </cfRule>
  </conditionalFormatting>
  <conditionalFormatting sqref="D65:E74">
    <cfRule type="cellIs" dxfId="2474" priority="18" stopIfTrue="1" operator="greaterThan">
      <formula>$F65</formula>
    </cfRule>
  </conditionalFormatting>
  <conditionalFormatting sqref="D74:E74">
    <cfRule type="cellIs" dxfId="2473" priority="19" stopIfTrue="1" operator="lessThanOrEqual">
      <formula>0</formula>
    </cfRule>
  </conditionalFormatting>
  <conditionalFormatting sqref="E10:E25">
    <cfRule type="cellIs" dxfId="2472" priority="9" operator="lessThan">
      <formula>48</formula>
    </cfRule>
  </conditionalFormatting>
  <conditionalFormatting sqref="E54">
    <cfRule type="cellIs" dxfId="2471" priority="141" stopIfTrue="1" operator="lessThan">
      <formula>96.8</formula>
    </cfRule>
    <cfRule type="cellIs" dxfId="2470" priority="142" stopIfTrue="1" operator="greaterThan">
      <formula>100</formula>
    </cfRule>
  </conditionalFormatting>
  <conditionalFormatting sqref="E65:E73">
    <cfRule type="cellIs" dxfId="2469" priority="113" stopIfTrue="1" operator="lessThanOrEqual">
      <formula>0</formula>
    </cfRule>
  </conditionalFormatting>
  <conditionalFormatting sqref="E76:E84">
    <cfRule type="cellIs" dxfId="2468" priority="133" stopIfTrue="1" operator="greaterThan">
      <formula>4.5</formula>
    </cfRule>
    <cfRule type="cellIs" dxfId="2467" priority="134" stopIfTrue="1" operator="lessThanOrEqual">
      <formula>0</formula>
    </cfRule>
  </conditionalFormatting>
  <conditionalFormatting sqref="E53:F54">
    <cfRule type="cellIs" dxfId="2466" priority="143" stopIfTrue="1" operator="lessThan">
      <formula>96.5</formula>
    </cfRule>
    <cfRule type="cellIs" dxfId="2465" priority="144" stopIfTrue="1" operator="greaterThan">
      <formula>100</formula>
    </cfRule>
  </conditionalFormatting>
  <conditionalFormatting sqref="F10:F24">
    <cfRule type="cellIs" dxfId="2464" priority="11" operator="greaterThan">
      <formula>60</formula>
    </cfRule>
  </conditionalFormatting>
  <conditionalFormatting sqref="F25">
    <cfRule type="cellIs" dxfId="2463" priority="169" operator="greaterThan">
      <formula>$AA62</formula>
    </cfRule>
    <cfRule type="cellIs" dxfId="2462" priority="168" operator="greaterThan">
      <formula>$AA25</formula>
    </cfRule>
  </conditionalFormatting>
  <conditionalFormatting sqref="F54">
    <cfRule type="cellIs" dxfId="2461" priority="159" stopIfTrue="1" operator="lessThan">
      <formula>96.8</formula>
    </cfRule>
    <cfRule type="cellIs" dxfId="2460" priority="160" stopIfTrue="1" operator="greaterThan">
      <formula>100</formula>
    </cfRule>
  </conditionalFormatting>
  <conditionalFormatting sqref="F74">
    <cfRule type="cellIs" dxfId="2459" priority="114" stopIfTrue="1" operator="greaterThan">
      <formula>$F74</formula>
    </cfRule>
    <cfRule type="cellIs" dxfId="2458" priority="115" stopIfTrue="1" operator="lessThanOrEqual">
      <formula>0</formula>
    </cfRule>
  </conditionalFormatting>
  <conditionalFormatting sqref="G65:G66 C71:C73">
    <cfRule type="cellIs" dxfId="2457" priority="121" stopIfTrue="1" operator="greaterThan">
      <formula>$F65</formula>
    </cfRule>
    <cfRule type="cellIs" dxfId="2456" priority="122" stopIfTrue="1" operator="lessThanOrEqual">
      <formula>0</formula>
    </cfRule>
  </conditionalFormatting>
  <conditionalFormatting sqref="G65:G66">
    <cfRule type="cellIs" dxfId="2455" priority="66" stopIfTrue="1" operator="lessThanOrEqual">
      <formula>0</formula>
    </cfRule>
    <cfRule type="cellIs" dxfId="2454" priority="65" stopIfTrue="1" operator="greaterThan">
      <formula>$F65</formula>
    </cfRule>
  </conditionalFormatting>
  <conditionalFormatting sqref="G67">
    <cfRule type="cellIs" dxfId="2453" priority="163" stopIfTrue="1" operator="greaterThan">
      <formula>$F66</formula>
    </cfRule>
    <cfRule type="cellIs" dxfId="2452" priority="164" stopIfTrue="1" operator="lessThanOrEqual">
      <formula>0</formula>
    </cfRule>
  </conditionalFormatting>
  <conditionalFormatting sqref="G68">
    <cfRule type="cellIs" dxfId="2451" priority="117" stopIfTrue="1" operator="lessThanOrEqual">
      <formula>0</formula>
    </cfRule>
    <cfRule type="cellIs" dxfId="2450" priority="116" stopIfTrue="1" operator="greaterThan">
      <formula>$F68</formula>
    </cfRule>
  </conditionalFormatting>
  <conditionalFormatting sqref="G69:G73">
    <cfRule type="cellIs" dxfId="2449" priority="123" stopIfTrue="1" operator="greaterThan">
      <formula>$J69</formula>
    </cfRule>
    <cfRule type="cellIs" dxfId="2448" priority="124" stopIfTrue="1" operator="lessThanOrEqual">
      <formula>0</formula>
    </cfRule>
  </conditionalFormatting>
  <conditionalFormatting sqref="G78:G83 C81 C83">
    <cfRule type="cellIs" dxfId="2447" priority="157" stopIfTrue="1" operator="lessThanOrEqual">
      <formula>0</formula>
    </cfRule>
    <cfRule type="cellIs" dxfId="2446" priority="156" stopIfTrue="1" operator="greaterThan">
      <formula>4.5</formula>
    </cfRule>
  </conditionalFormatting>
  <conditionalFormatting sqref="G10:H25">
    <cfRule type="expression" dxfId="2445" priority="2">
      <formula>IF(+(IF(G10&lt;#REF!,0,IF(G10&gt;#REF!,0,1)))=0,1)</formula>
    </cfRule>
  </conditionalFormatting>
  <conditionalFormatting sqref="G77:H77">
    <cfRule type="cellIs" dxfId="2444" priority="137" stopIfTrue="1" operator="greaterThan">
      <formula>$F$76</formula>
    </cfRule>
    <cfRule type="cellIs" dxfId="2443" priority="138" stopIfTrue="1" operator="lessThanOrEqual">
      <formula>0</formula>
    </cfRule>
  </conditionalFormatting>
  <conditionalFormatting sqref="H38:H52 G40:G51">
    <cfRule type="cellIs" dxfId="2442" priority="135" stopIfTrue="1" operator="greaterThan">
      <formula>0</formula>
    </cfRule>
  </conditionalFormatting>
  <conditionalFormatting sqref="H57">
    <cfRule type="cellIs" dxfId="2441" priority="32" stopIfTrue="1" operator="greaterThan">
      <formula>$F$37</formula>
    </cfRule>
    <cfRule type="cellIs" dxfId="2440" priority="33" stopIfTrue="1" operator="lessThanOrEqual">
      <formula>0</formula>
    </cfRule>
    <cfRule type="cellIs" dxfId="2439" priority="21" stopIfTrue="1" operator="lessThanOrEqual">
      <formula>0</formula>
    </cfRule>
    <cfRule type="cellIs" dxfId="2438" priority="22" stopIfTrue="1" operator="greaterThan">
      <formula>$F$36</formula>
    </cfRule>
    <cfRule type="cellIs" dxfId="2437" priority="30" stopIfTrue="1" operator="greaterThan">
      <formula>$F$39</formula>
    </cfRule>
    <cfRule type="cellIs" dxfId="2436" priority="31" stopIfTrue="1" operator="lessThanOrEqual">
      <formula>0</formula>
    </cfRule>
  </conditionalFormatting>
  <conditionalFormatting sqref="H58">
    <cfRule type="cellIs" dxfId="2435" priority="73" stopIfTrue="1" operator="lessThanOrEqual">
      <formula>0</formula>
    </cfRule>
    <cfRule type="cellIs" dxfId="2434" priority="74" stopIfTrue="1" operator="greaterThan">
      <formula>$F$64</formula>
    </cfRule>
    <cfRule type="cellIs" dxfId="2433" priority="82" stopIfTrue="1" operator="greaterThan">
      <formula>$F$67</formula>
    </cfRule>
    <cfRule type="cellIs" dxfId="2432" priority="83" stopIfTrue="1" operator="lessThanOrEqual">
      <formula>0</formula>
    </cfRule>
    <cfRule type="cellIs" dxfId="2431" priority="84" stopIfTrue="1" operator="greaterThan">
      <formula>$F$65</formula>
    </cfRule>
    <cfRule type="cellIs" dxfId="2430" priority="85" stopIfTrue="1" operator="lessThanOrEqual">
      <formula>0</formula>
    </cfRule>
  </conditionalFormatting>
  <conditionalFormatting sqref="H59">
    <cfRule type="cellIs" dxfId="2429" priority="48" stopIfTrue="1" operator="greaterThan">
      <formula>#REF!</formula>
    </cfRule>
    <cfRule type="cellIs" dxfId="2428" priority="47" stopIfTrue="1" operator="lessThanOrEqual">
      <formula>0</formula>
    </cfRule>
    <cfRule type="cellIs" dxfId="2427" priority="56" stopIfTrue="1" operator="greaterThan">
      <formula>#REF!</formula>
    </cfRule>
    <cfRule type="cellIs" dxfId="2426" priority="57" stopIfTrue="1" operator="lessThanOrEqual">
      <formula>0</formula>
    </cfRule>
  </conditionalFormatting>
  <conditionalFormatting sqref="H60">
    <cfRule type="cellIs" dxfId="2425" priority="94" stopIfTrue="1" operator="greaterThan">
      <formula>$F$65</formula>
    </cfRule>
    <cfRule type="cellIs" dxfId="2424" priority="105" stopIfTrue="1" operator="lessThanOrEqual">
      <formula>0</formula>
    </cfRule>
    <cfRule type="cellIs" dxfId="2423" priority="104" stopIfTrue="1" operator="greaterThan">
      <formula>$F$66</formula>
    </cfRule>
    <cfRule type="cellIs" dxfId="2422" priority="103" stopIfTrue="1" operator="lessThanOrEqual">
      <formula>0</formula>
    </cfRule>
    <cfRule type="cellIs" dxfId="2421" priority="102" stopIfTrue="1" operator="greaterThan">
      <formula>$F$68</formula>
    </cfRule>
    <cfRule type="cellIs" dxfId="2420" priority="68" stopIfTrue="1" operator="lessThanOrEqual">
      <formula>0</formula>
    </cfRule>
  </conditionalFormatting>
  <conditionalFormatting sqref="H61">
    <cfRule type="cellIs" dxfId="2419" priority="127" stopIfTrue="1" operator="lessThanOrEqual">
      <formula>0</formula>
    </cfRule>
    <cfRule type="cellIs" dxfId="2418" priority="128" stopIfTrue="1" operator="greaterThan">
      <formula>$F$59</formula>
    </cfRule>
    <cfRule type="cellIs" dxfId="2417" priority="129" stopIfTrue="1" operator="lessThanOrEqual">
      <formula>0</formula>
    </cfRule>
    <cfRule type="cellIs" dxfId="2416" priority="126" stopIfTrue="1" operator="greaterThan">
      <formula>$F$62</formula>
    </cfRule>
  </conditionalFormatting>
  <conditionalFormatting sqref="H65:H72">
    <cfRule type="cellIs" dxfId="2415" priority="107" stopIfTrue="1" operator="lessThanOrEqual">
      <formula>0</formula>
    </cfRule>
    <cfRule type="cellIs" dxfId="2414" priority="106" stopIfTrue="1" operator="greaterThan">
      <formula>$J65</formula>
    </cfRule>
  </conditionalFormatting>
  <conditionalFormatting sqref="H73">
    <cfRule type="cellIs" dxfId="2413" priority="110" operator="greaterThan">
      <formula>5.3</formula>
    </cfRule>
  </conditionalFormatting>
  <conditionalFormatting sqref="H76 H78:H84">
    <cfRule type="cellIs" dxfId="2412" priority="149" stopIfTrue="1" operator="greaterThan">
      <formula>4.5</formula>
    </cfRule>
    <cfRule type="cellIs" dxfId="2411" priority="150" stopIfTrue="1" operator="lessThanOrEqual">
      <formula>0</formula>
    </cfRule>
  </conditionalFormatting>
  <conditionalFormatting sqref="H57:I57">
    <cfRule type="cellIs" dxfId="2410" priority="23" stopIfTrue="1" operator="lessThanOrEqual">
      <formula>0</formula>
    </cfRule>
    <cfRule type="cellIs" dxfId="2409" priority="20" stopIfTrue="1" operator="greaterThan">
      <formula>$F$38</formula>
    </cfRule>
  </conditionalFormatting>
  <conditionalFormatting sqref="H58:I58">
    <cfRule type="cellIs" dxfId="2408" priority="75" stopIfTrue="1" operator="lessThanOrEqual">
      <formula>0</formula>
    </cfRule>
    <cfRule type="cellIs" dxfId="2407" priority="72" stopIfTrue="1" operator="greaterThan">
      <formula>$F$66</formula>
    </cfRule>
  </conditionalFormatting>
  <conditionalFormatting sqref="H59:I59">
    <cfRule type="cellIs" dxfId="2406" priority="52" stopIfTrue="1" operator="greaterThan">
      <formula>#REF!</formula>
    </cfRule>
    <cfRule type="cellIs" dxfId="2405" priority="49" stopIfTrue="1" operator="lessThanOrEqual">
      <formula>0</formula>
    </cfRule>
    <cfRule type="cellIs" dxfId="2404" priority="46" stopIfTrue="1" operator="greaterThan">
      <formula>#REF!</formula>
    </cfRule>
    <cfRule type="cellIs" dxfId="2403" priority="55" stopIfTrue="1" operator="lessThanOrEqual">
      <formula>0</formula>
    </cfRule>
  </conditionalFormatting>
  <conditionalFormatting sqref="H60:I60">
    <cfRule type="cellIs" dxfId="2402" priority="95" stopIfTrue="1" operator="lessThanOrEqual">
      <formula>0</formula>
    </cfRule>
    <cfRule type="cellIs" dxfId="2401" priority="67" stopIfTrue="1" operator="greaterThan">
      <formula>$F$67</formula>
    </cfRule>
  </conditionalFormatting>
  <conditionalFormatting sqref="H74:I74">
    <cfRule type="cellIs" dxfId="2400" priority="17" stopIfTrue="1" operator="lessThanOrEqual">
      <formula>0</formula>
    </cfRule>
    <cfRule type="cellIs" dxfId="2399" priority="16" stopIfTrue="1" operator="greaterThan">
      <formula>$J74</formula>
    </cfRule>
  </conditionalFormatting>
  <conditionalFormatting sqref="I25">
    <cfRule type="cellIs" dxfId="2398" priority="63" operator="lessThan">
      <formula>98</formula>
    </cfRule>
    <cfRule type="cellIs" dxfId="2397" priority="60" operator="lessThan">
      <formula>97.8</formula>
    </cfRule>
  </conditionalFormatting>
  <conditionalFormatting sqref="I28:I29 J29:J30 I31:J32">
    <cfRule type="cellIs" dxfId="2396" priority="64" operator="lessThan">
      <formula>97.4</formula>
    </cfRule>
  </conditionalFormatting>
  <conditionalFormatting sqref="I30">
    <cfRule type="cellIs" dxfId="2395" priority="1" operator="lessThan">
      <formula>98</formula>
    </cfRule>
  </conditionalFormatting>
  <conditionalFormatting sqref="I57">
    <cfRule type="cellIs" dxfId="2394" priority="29" stopIfTrue="1" operator="lessThanOrEqual">
      <formula>0</formula>
    </cfRule>
    <cfRule type="cellIs" dxfId="2393" priority="27" stopIfTrue="1" operator="lessThanOrEqual">
      <formula>0</formula>
    </cfRule>
    <cfRule type="cellIs" dxfId="2392" priority="28" stopIfTrue="1" operator="greaterThan">
      <formula>$F$36</formula>
    </cfRule>
    <cfRule type="cellIs" dxfId="2391" priority="24" stopIfTrue="1" operator="greaterThan">
      <formula>$F$36</formula>
    </cfRule>
    <cfRule type="cellIs" dxfId="2390" priority="25" stopIfTrue="1" operator="lessThanOrEqual">
      <formula>0</formula>
    </cfRule>
    <cfRule type="cellIs" dxfId="2389" priority="26" stopIfTrue="1" operator="greaterThan">
      <formula>$F$38</formula>
    </cfRule>
  </conditionalFormatting>
  <conditionalFormatting sqref="I58">
    <cfRule type="cellIs" dxfId="2388" priority="78" stopIfTrue="1" operator="greaterThan">
      <formula>$F$66</formula>
    </cfRule>
    <cfRule type="cellIs" dxfId="2387" priority="81" stopIfTrue="1" operator="lessThanOrEqual">
      <formula>0</formula>
    </cfRule>
    <cfRule type="cellIs" dxfId="2386" priority="80" stopIfTrue="1" operator="greaterThan">
      <formula>$F$64</formula>
    </cfRule>
    <cfRule type="cellIs" dxfId="2385" priority="79" stopIfTrue="1" operator="lessThanOrEqual">
      <formula>0</formula>
    </cfRule>
    <cfRule type="cellIs" dxfId="2384" priority="77" stopIfTrue="1" operator="lessThanOrEqual">
      <formula>0</formula>
    </cfRule>
    <cfRule type="cellIs" dxfId="2383" priority="76" stopIfTrue="1" operator="greaterThan">
      <formula>$F$64</formula>
    </cfRule>
  </conditionalFormatting>
  <conditionalFormatting sqref="I59">
    <cfRule type="cellIs" dxfId="2382" priority="51" stopIfTrue="1" operator="lessThanOrEqual">
      <formula>0</formula>
    </cfRule>
    <cfRule type="cellIs" dxfId="2381" priority="50" stopIfTrue="1" operator="greaterThan">
      <formula>#REF!</formula>
    </cfRule>
    <cfRule type="cellIs" dxfId="2380" priority="53" stopIfTrue="1" operator="lessThanOrEqual">
      <formula>0</formula>
    </cfRule>
    <cfRule type="cellIs" dxfId="2379" priority="54" stopIfTrue="1" operator="greaterThan">
      <formula>#REF!</formula>
    </cfRule>
  </conditionalFormatting>
  <conditionalFormatting sqref="I60">
    <cfRule type="cellIs" dxfId="2378" priority="101" stopIfTrue="1" operator="lessThanOrEqual">
      <formula>0</formula>
    </cfRule>
    <cfRule type="cellIs" dxfId="2377" priority="98" stopIfTrue="1" operator="greaterThan">
      <formula>$F$67</formula>
    </cfRule>
    <cfRule type="cellIs" dxfId="2376" priority="100" stopIfTrue="1" operator="greaterThan">
      <formula>$F$65</formula>
    </cfRule>
    <cfRule type="cellIs" dxfId="2375" priority="99" stopIfTrue="1" operator="lessThanOrEqual">
      <formula>0</formula>
    </cfRule>
    <cfRule type="cellIs" dxfId="2374" priority="96" stopIfTrue="1" operator="greaterThan">
      <formula>$F$65</formula>
    </cfRule>
    <cfRule type="cellIs" dxfId="2373" priority="97" stopIfTrue="1" operator="lessThanOrEqual">
      <formula>0</formula>
    </cfRule>
  </conditionalFormatting>
  <conditionalFormatting sqref="I65:I73">
    <cfRule type="cellIs" dxfId="2372" priority="111" stopIfTrue="1" operator="greaterThan">
      <formula>$J65</formula>
    </cfRule>
    <cfRule type="cellIs" dxfId="2371" priority="112" stopIfTrue="1" operator="lessThanOrEqual">
      <formula>0</formula>
    </cfRule>
  </conditionalFormatting>
  <conditionalFormatting sqref="I76:I84">
    <cfRule type="cellIs" dxfId="2370" priority="145" stopIfTrue="1" operator="greaterThan">
      <formula>4.5</formula>
    </cfRule>
    <cfRule type="cellIs" dxfId="2369" priority="146" stopIfTrue="1" operator="lessThanOrEqual">
      <formula>0</formula>
    </cfRule>
  </conditionalFormatting>
  <conditionalFormatting sqref="I10:J24">
    <cfRule type="cellIs" dxfId="2368" priority="12" operator="lessThan">
      <formula>97.9</formula>
    </cfRule>
  </conditionalFormatting>
  <conditionalFormatting sqref="I33:J33">
    <cfRule type="cellIs" dxfId="2367" priority="90" operator="lessThan">
      <formula>98</formula>
    </cfRule>
  </conditionalFormatting>
  <conditionalFormatting sqref="I34:J36">
    <cfRule type="cellIs" dxfId="2366" priority="91" stopIfTrue="1" operator="lessThan">
      <formula>96.8</formula>
    </cfRule>
    <cfRule type="cellIs" dxfId="2365" priority="92" stopIfTrue="1" operator="greaterThan">
      <formula>100</formula>
    </cfRule>
  </conditionalFormatting>
  <conditionalFormatting sqref="I34:J37">
    <cfRule type="cellIs" dxfId="2364" priority="93" operator="lessThan">
      <formula>98</formula>
    </cfRule>
  </conditionalFormatting>
  <conditionalFormatting sqref="J25">
    <cfRule type="cellIs" dxfId="2363" priority="61" operator="notBetween">
      <formula>98</formula>
      <formula>99.9</formula>
    </cfRule>
    <cfRule type="cellIs" dxfId="2362" priority="62" operator="lessThan">
      <formula>97.4</formula>
    </cfRule>
  </conditionalFormatting>
  <conditionalFormatting sqref="J29:J30">
    <cfRule type="cellIs" dxfId="2361" priority="89" operator="lessThan">
      <formula>98</formula>
    </cfRule>
    <cfRule type="cellIs" dxfId="2360" priority="88" stopIfTrue="1" operator="greaterThan">
      <formula>100</formula>
    </cfRule>
    <cfRule type="cellIs" dxfId="2359" priority="87" stopIfTrue="1" operator="lessThan">
      <formula>96.8</formula>
    </cfRule>
  </conditionalFormatting>
  <conditionalFormatting sqref="J74">
    <cfRule type="cellIs" dxfId="2358" priority="14" stopIfTrue="1" operator="lessThanOrEqual">
      <formula>0</formula>
    </cfRule>
    <cfRule type="cellIs" dxfId="2357" priority="13" stopIfTrue="1" operator="greaterThan">
      <formula>$F74</formula>
    </cfRule>
  </conditionalFormatting>
  <conditionalFormatting sqref="J42:K51">
    <cfRule type="cellIs" dxfId="2356" priority="118" operator="notEqual">
      <formula>#REF!</formula>
    </cfRule>
  </conditionalFormatting>
  <conditionalFormatting sqref="K10:K25">
    <cfRule type="cellIs" dxfId="2355" priority="5" operator="greaterThan">
      <formula>6</formula>
    </cfRule>
    <cfRule type="cellIs" dxfId="2354" priority="10" operator="greaterThan">
      <formula>6.4</formula>
    </cfRule>
    <cfRule type="cellIs" dxfId="2353" priority="6" operator="lessThan">
      <formula>4</formula>
    </cfRule>
  </conditionalFormatting>
  <conditionalFormatting sqref="K57:K61 K65:N73">
    <cfRule type="cellIs" dxfId="2352" priority="125" stopIfTrue="1" operator="lessThan">
      <formula>100%</formula>
    </cfRule>
  </conditionalFormatting>
  <conditionalFormatting sqref="K76:K81">
    <cfRule type="cellIs" dxfId="2351" priority="151" stopIfTrue="1" operator="lessThan">
      <formula>100%</formula>
    </cfRule>
  </conditionalFormatting>
  <conditionalFormatting sqref="K83:K84">
    <cfRule type="cellIs" dxfId="2350" priority="158" stopIfTrue="1" operator="lessThan">
      <formula>100%</formula>
    </cfRule>
  </conditionalFormatting>
  <conditionalFormatting sqref="L10:L25">
    <cfRule type="cellIs" dxfId="2349" priority="7" operator="between">
      <formula>61</formula>
      <formula>65</formula>
    </cfRule>
    <cfRule type="cellIs" dxfId="2348" priority="8" operator="greaterThan">
      <formula>65</formula>
    </cfRule>
  </conditionalFormatting>
  <conditionalFormatting sqref="L28:M39">
    <cfRule type="cellIs" dxfId="2347" priority="45" operator="lessThan">
      <formula>98</formula>
    </cfRule>
  </conditionalFormatting>
  <conditionalFormatting sqref="L43:N43">
    <cfRule type="cellIs" dxfId="2346" priority="69" operator="notEqual">
      <formula>#REF!</formula>
    </cfRule>
  </conditionalFormatting>
  <conditionalFormatting sqref="L74:N74">
    <cfRule type="cellIs" dxfId="2345" priority="15" stopIfTrue="1" operator="lessThan">
      <formula>100%</formula>
    </cfRule>
  </conditionalFormatting>
  <conditionalFormatting sqref="L76:N84">
    <cfRule type="cellIs" dxfId="2344" priority="136" stopIfTrue="1" operator="lessThan">
      <formula>100%</formula>
    </cfRule>
  </conditionalFormatting>
  <conditionalFormatting sqref="M10:M25">
    <cfRule type="expression" dxfId="2343" priority="3">
      <formula>IF(+(IF(M10&lt;V10,0,IF(M10&gt;W10,0,1)))=0,1)</formula>
    </cfRule>
  </conditionalFormatting>
  <conditionalFormatting sqref="M6:N6">
    <cfRule type="cellIs" dxfId="2342" priority="70" operator="greaterThanOrEqual">
      <formula>15</formula>
    </cfRule>
    <cfRule type="cellIs" dxfId="2341" priority="71" operator="greaterThanOrEqual">
      <formula>19</formula>
    </cfRule>
  </conditionalFormatting>
  <conditionalFormatting sqref="N10:N25">
    <cfRule type="expression" dxfId="2340" priority="4">
      <formula>IF(+(IF(N10&lt;X10,0,IF(N10&gt;Y10,0,1)))=0,1)</formula>
    </cfRule>
  </conditionalFormatting>
  <conditionalFormatting sqref="N25">
    <cfRule type="expression" dxfId="2339" priority="166">
      <formula>IF(+(IF(N25&lt;X67,0,IF(N25&gt;Y67,0,1)))=0,1)</formula>
    </cfRule>
    <cfRule type="expression" dxfId="2338" priority="167">
      <formula>IF(+(IF(N25&lt;X62,0,IF(N25&gt;Y62,0,1)))=0,1)</formula>
    </cfRule>
  </conditionalFormatting>
  <conditionalFormatting sqref="P6">
    <cfRule type="cellIs" dxfId="2337" priority="132" operator="greaterThanOrEqual">
      <formula>19</formula>
    </cfRule>
  </conditionalFormatting>
  <dataValidations count="1">
    <dataValidation type="list" allowBlank="1" showInputMessage="1" showErrorMessage="1" sqref="S8 B25" xr:uid="{6AFD8F8D-B173-401F-AF72-46053CF10FCE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DD46-40CA-4489-9807-BA8BFD402797}">
  <sheetPr>
    <pageSetUpPr fitToPage="1"/>
  </sheetPr>
  <dimension ref="A1:BF83"/>
  <sheetViews>
    <sheetView zoomScale="80" zoomScaleNormal="80" workbookViewId="0">
      <selection activeCell="B17" sqref="B17:O17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bestFit="1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45727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4" t="s">
        <v>12</v>
      </c>
      <c r="C10" s="366" t="s">
        <v>185</v>
      </c>
      <c r="D10" s="279">
        <f>[25]Brewhouse!$AF24</f>
        <v>59.7</v>
      </c>
      <c r="E10" s="279">
        <f>[25]Brewhouse!$AI24</f>
        <v>54.1</v>
      </c>
      <c r="F10" s="278">
        <f>[25]Brewhouse!$V24</f>
        <v>73</v>
      </c>
      <c r="G10" s="279">
        <f>[25]Brewhouse!$AG24</f>
        <v>17.3</v>
      </c>
      <c r="H10" s="396">
        <v>17.3</v>
      </c>
      <c r="I10" s="368">
        <f>[25]Brewhouse!$AU24</f>
        <v>101.17562190812932</v>
      </c>
      <c r="J10" s="368">
        <f>[25]Brewhouse!$AV24</f>
        <v>102.60918597498461</v>
      </c>
      <c r="K10" s="281">
        <f>[25]Brewhouse!$R24</f>
        <v>5.4394693200663253</v>
      </c>
      <c r="L10" s="276">
        <f>[25]Brewhouse!$O24</f>
        <v>59</v>
      </c>
      <c r="M10" s="397">
        <f>[25]Brewhouse!$U24-[25]Brewhouse!$T24</f>
        <v>0.1333333333333333</v>
      </c>
      <c r="N10" s="370">
        <f>[25]Brewhouse!$Z24</f>
        <v>0.28819444444444442</v>
      </c>
      <c r="O10" s="371" t="str">
        <f>[25]Brewhouse!$AW24</f>
        <v>R. Regis</v>
      </c>
      <c r="P10" s="441"/>
      <c r="Q10" s="347"/>
      <c r="S10" s="277" t="str">
        <f t="shared" ref="S10:S22" si="0">B10</f>
        <v>GUINNESS</v>
      </c>
      <c r="T10" s="296">
        <f t="shared" ref="T10:T22" si="1">VLOOKUP($B10,$S$3:$Y$9,2,FALSE)</f>
        <v>17</v>
      </c>
      <c r="U10" s="296">
        <f t="shared" ref="U10:U22" si="2">VLOOKUP($B10,$S$3:$Y$9,3,FALSE)</f>
        <v>17.5</v>
      </c>
      <c r="V10" s="297">
        <f t="shared" ref="V10:V22" si="3">VLOOKUP($B10,$S$3:$Y$9,4,FALSE)</f>
        <v>0</v>
      </c>
      <c r="W10" s="297">
        <f t="shared" ref="W10:W22" si="4">VLOOKUP($B10,$S$3:$Y$9,5,FALSE)</f>
        <v>0.1076388888888889</v>
      </c>
      <c r="X10" s="297">
        <f t="shared" ref="X10:X22" si="5">VLOOKUP($B10,$S$3:$Y$9,6,FALSE)</f>
        <v>0.24652777777777779</v>
      </c>
      <c r="Y10" s="297">
        <f t="shared" ref="Y10:Y22" si="6">VLOOKUP($B10,$S$3:$Y$9,7,FALSE)</f>
        <v>0.28472222222222221</v>
      </c>
      <c r="Z10" s="297">
        <f t="shared" ref="Z10:Z22" si="7">VLOOKUP($B10,$S$3:$AA$9,8,FALSE)</f>
        <v>0</v>
      </c>
      <c r="AA10" s="296">
        <f t="shared" ref="AA10:AA22" si="8">VLOOKUP($B10,$S$3:$AA$9,9,FALSE)</f>
        <v>60</v>
      </c>
    </row>
    <row r="11" spans="2:30" ht="15.75" customHeight="1">
      <c r="B11" s="34" t="s">
        <v>12</v>
      </c>
      <c r="C11" s="366" t="str">
        <f>[25]Brewhouse!$A25</f>
        <v>GU020</v>
      </c>
      <c r="D11" s="279">
        <f>[25]Brewhouse!$AF25</f>
        <v>61.2</v>
      </c>
      <c r="E11" s="279">
        <f>[25]Brewhouse!$AI25</f>
        <v>55.8</v>
      </c>
      <c r="F11" s="278">
        <f>[25]Brewhouse!$V25</f>
        <v>66</v>
      </c>
      <c r="G11" s="279">
        <f>[25]Brewhouse!$AG25</f>
        <v>17.3</v>
      </c>
      <c r="H11" s="396">
        <v>17.3</v>
      </c>
      <c r="I11" s="368">
        <f>[25]Brewhouse!$AU25</f>
        <v>104.35489283685058</v>
      </c>
      <c r="J11" s="368">
        <f>[25]Brewhouse!$AV25</f>
        <v>105.83350420340372</v>
      </c>
      <c r="K11" s="281">
        <f>[25]Brewhouse!$R25</f>
        <v>1.9148936170212734</v>
      </c>
      <c r="L11" s="276">
        <f>[25]Brewhouse!$O25</f>
        <v>56</v>
      </c>
      <c r="M11" s="397">
        <f>[25]Brewhouse!$U25-[25]Brewhouse!$T25</f>
        <v>0.13194444444444442</v>
      </c>
      <c r="N11" s="370">
        <f>[25]Brewhouse!$Z25</f>
        <v>0.31388888888888888</v>
      </c>
      <c r="O11" s="371" t="str">
        <f>[25]Brewhouse!$AW25</f>
        <v>R.Sookram</v>
      </c>
      <c r="P11" s="441"/>
      <c r="Q11" s="347"/>
      <c r="S11" s="277" t="str">
        <f t="shared" si="0"/>
        <v>GUINNESS</v>
      </c>
      <c r="T11" s="296">
        <f t="shared" si="1"/>
        <v>17</v>
      </c>
      <c r="U11" s="296">
        <f t="shared" si="2"/>
        <v>17.5</v>
      </c>
      <c r="V11" s="297">
        <f t="shared" si="3"/>
        <v>0</v>
      </c>
      <c r="W11" s="297">
        <f t="shared" si="4"/>
        <v>0.1076388888888889</v>
      </c>
      <c r="X11" s="297">
        <f t="shared" si="5"/>
        <v>0.24652777777777779</v>
      </c>
      <c r="Y11" s="297">
        <f t="shared" si="6"/>
        <v>0.28472222222222221</v>
      </c>
      <c r="Z11" s="297">
        <f t="shared" si="7"/>
        <v>0</v>
      </c>
      <c r="AA11" s="296">
        <f t="shared" si="8"/>
        <v>60</v>
      </c>
    </row>
    <row r="12" spans="2:30" ht="15.75" customHeight="1">
      <c r="B12" s="34" t="s">
        <v>12</v>
      </c>
      <c r="C12" s="366" t="str">
        <f>[25]Brewhouse!$A26</f>
        <v>GU021</v>
      </c>
      <c r="D12" s="279">
        <f>[25]Brewhouse!$AF26</f>
        <v>58.2</v>
      </c>
      <c r="E12" s="279">
        <f>[25]Brewhouse!$AI26</f>
        <v>53.2</v>
      </c>
      <c r="F12" s="278">
        <f>[25]Brewhouse!$V26</f>
        <v>74</v>
      </c>
      <c r="G12" s="279">
        <f>[25]Brewhouse!$AG26</f>
        <v>17.18</v>
      </c>
      <c r="H12" s="396">
        <v>17.2</v>
      </c>
      <c r="I12" s="368">
        <f>[25]Brewhouse!$AU26</f>
        <v>96.487973390295707</v>
      </c>
      <c r="J12" s="368">
        <f>[25]Brewhouse!$AV26</f>
        <v>97.820728291316513</v>
      </c>
      <c r="K12" s="281">
        <f>[25]Brewhouse!$R26</f>
        <v>3.5924006908462842</v>
      </c>
      <c r="L12" s="276">
        <f>[25]Brewhouse!$O26</f>
        <v>56</v>
      </c>
      <c r="M12" s="397">
        <f>[25]Brewhouse!$U26-[25]Brewhouse!$T26</f>
        <v>0.12361111111111112</v>
      </c>
      <c r="N12" s="370">
        <f>[25]Brewhouse!$Z26</f>
        <v>0.32222222222222224</v>
      </c>
      <c r="O12" s="371" t="str">
        <f>[25]Brewhouse!$AW26</f>
        <v>R.Sookram</v>
      </c>
      <c r="P12" s="441"/>
      <c r="Q12" s="347"/>
      <c r="S12" s="277" t="str">
        <f t="shared" si="0"/>
        <v>GUINNESS</v>
      </c>
      <c r="T12" s="296">
        <f t="shared" si="1"/>
        <v>17</v>
      </c>
      <c r="U12" s="296">
        <f t="shared" si="2"/>
        <v>17.5</v>
      </c>
      <c r="V12" s="297">
        <f t="shared" si="3"/>
        <v>0</v>
      </c>
      <c r="W12" s="297">
        <f t="shared" si="4"/>
        <v>0.1076388888888889</v>
      </c>
      <c r="X12" s="297">
        <f t="shared" si="5"/>
        <v>0.24652777777777779</v>
      </c>
      <c r="Y12" s="297">
        <f t="shared" si="6"/>
        <v>0.28472222222222221</v>
      </c>
      <c r="Z12" s="297">
        <f t="shared" si="7"/>
        <v>0</v>
      </c>
      <c r="AA12" s="296">
        <f t="shared" si="8"/>
        <v>60</v>
      </c>
    </row>
    <row r="13" spans="2:30" ht="15.75" customHeight="1">
      <c r="B13" s="34" t="s">
        <v>12</v>
      </c>
      <c r="C13" s="366" t="str">
        <f>[25]Brewhouse!$A27</f>
        <v>GU022</v>
      </c>
      <c r="D13" s="279">
        <f>[25]Brewhouse!$AF27</f>
        <v>58.4</v>
      </c>
      <c r="E13" s="279">
        <f>[25]Brewhouse!$AI27</f>
        <v>53</v>
      </c>
      <c r="F13" s="278">
        <f>[25]Brewhouse!$V27</f>
        <v>60</v>
      </c>
      <c r="G13" s="279">
        <f>[25]Brewhouse!$AG27</f>
        <v>17.22</v>
      </c>
      <c r="H13" s="396">
        <v>17.2</v>
      </c>
      <c r="I13" s="368">
        <f>[25]Brewhouse!$AU27</f>
        <v>96.125236648226917</v>
      </c>
      <c r="J13" s="368">
        <f>[25]Brewhouse!$AV27</f>
        <v>97.452981192476969</v>
      </c>
      <c r="K13" s="281">
        <f>[25]Brewhouse!$R27</f>
        <v>3.5986159169550147</v>
      </c>
      <c r="L13" s="276">
        <f>[25]Brewhouse!$O27</f>
        <v>59</v>
      </c>
      <c r="M13" s="397">
        <f>[25]Brewhouse!$U27-[25]Brewhouse!$T27</f>
        <v>0.11736111111111114</v>
      </c>
      <c r="N13" s="370">
        <f>[25]Brewhouse!$Z27</f>
        <v>0.29305555555555551</v>
      </c>
      <c r="O13" s="371" t="str">
        <f>[25]Brewhouse!$AW27</f>
        <v>K. Benjamin</v>
      </c>
      <c r="P13" s="441"/>
      <c r="Q13" s="347"/>
      <c r="S13" s="277" t="str">
        <f t="shared" ref="S13:S20" si="9">B13</f>
        <v>GUINNESS</v>
      </c>
      <c r="T13" s="296">
        <f t="shared" si="1"/>
        <v>17</v>
      </c>
      <c r="U13" s="296">
        <f t="shared" si="2"/>
        <v>17.5</v>
      </c>
      <c r="V13" s="297">
        <f t="shared" si="3"/>
        <v>0</v>
      </c>
      <c r="W13" s="297">
        <f t="shared" si="4"/>
        <v>0.1076388888888889</v>
      </c>
      <c r="X13" s="297">
        <f t="shared" si="5"/>
        <v>0.24652777777777779</v>
      </c>
      <c r="Y13" s="297">
        <f t="shared" si="6"/>
        <v>0.28472222222222221</v>
      </c>
      <c r="Z13" s="297">
        <f t="shared" si="7"/>
        <v>0</v>
      </c>
      <c r="AA13" s="296">
        <f t="shared" si="8"/>
        <v>60</v>
      </c>
    </row>
    <row r="14" spans="2:30" ht="15.75" customHeight="1">
      <c r="B14" s="34" t="s">
        <v>12</v>
      </c>
      <c r="C14" s="366" t="str">
        <f>[25]Brewhouse!$A28</f>
        <v>GU023</v>
      </c>
      <c r="D14" s="279">
        <f>[25]Brewhouse!$AF28</f>
        <v>56.7</v>
      </c>
      <c r="E14" s="279">
        <f>[25]Brewhouse!$AI28</f>
        <v>52.3</v>
      </c>
      <c r="F14" s="278">
        <f>[25]Brewhouse!$V28</f>
        <v>60</v>
      </c>
      <c r="G14" s="279">
        <f>[25]Brewhouse!$AG28</f>
        <v>17.03</v>
      </c>
      <c r="H14" s="396">
        <v>17</v>
      </c>
      <c r="I14" s="368">
        <f>[25]Brewhouse!$AU28</f>
        <v>96.035425509762433</v>
      </c>
      <c r="J14" s="368">
        <f>[25]Brewhouse!$AV28</f>
        <v>97.395921508272394</v>
      </c>
      <c r="K14" s="281">
        <f>[25]Brewhouse!$R28</f>
        <v>3.7201365187713304</v>
      </c>
      <c r="L14" s="276">
        <f>[25]Brewhouse!$O28</f>
        <v>60</v>
      </c>
      <c r="M14" s="397">
        <f>[25]Brewhouse!$U28-[25]Brewhouse!$T28</f>
        <v>0.11944444444444446</v>
      </c>
      <c r="N14" s="370">
        <f>[25]Brewhouse!$Z28</f>
        <v>0.27222222222222225</v>
      </c>
      <c r="O14" s="371" t="str">
        <f>[25]Brewhouse!$AW28</f>
        <v>K. Benjamin</v>
      </c>
      <c r="P14" s="441"/>
      <c r="Q14" s="347"/>
      <c r="S14" s="277" t="str">
        <f t="shared" si="9"/>
        <v>GUINNESS</v>
      </c>
      <c r="T14" s="296">
        <f t="shared" si="1"/>
        <v>17</v>
      </c>
      <c r="U14" s="296">
        <f t="shared" si="2"/>
        <v>17.5</v>
      </c>
      <c r="V14" s="297">
        <f t="shared" si="3"/>
        <v>0</v>
      </c>
      <c r="W14" s="297">
        <f t="shared" si="4"/>
        <v>0.1076388888888889</v>
      </c>
      <c r="X14" s="297">
        <f t="shared" si="5"/>
        <v>0.24652777777777779</v>
      </c>
      <c r="Y14" s="297">
        <f t="shared" si="6"/>
        <v>0.28472222222222221</v>
      </c>
      <c r="Z14" s="297">
        <f t="shared" si="7"/>
        <v>0</v>
      </c>
      <c r="AA14" s="296">
        <f t="shared" si="8"/>
        <v>60</v>
      </c>
    </row>
    <row r="15" spans="2:30" ht="15.75" customHeight="1">
      <c r="B15" s="34" t="s">
        <v>12</v>
      </c>
      <c r="C15" s="366" t="str">
        <f>[25]Brewhouse!$A29</f>
        <v>GU024</v>
      </c>
      <c r="D15" s="279">
        <f>[25]Brewhouse!$AF29</f>
        <v>58.1</v>
      </c>
      <c r="E15" s="279">
        <f>[25]Brewhouse!$AI29</f>
        <v>53.1</v>
      </c>
      <c r="F15" s="278">
        <f>[25]Brewhouse!$V29</f>
        <v>73</v>
      </c>
      <c r="G15" s="279">
        <f>[25]Brewhouse!$AG29</f>
        <v>17.04</v>
      </c>
      <c r="H15" s="396">
        <v>17</v>
      </c>
      <c r="I15" s="368">
        <f>[25]Brewhouse!$AU29</f>
        <v>97.504418634194764</v>
      </c>
      <c r="J15" s="368">
        <f>[25]Brewhouse!$AV29</f>
        <v>98.885725278953444</v>
      </c>
      <c r="K15" s="281">
        <f>[25]Brewhouse!$R29</f>
        <v>2.5299145299145245</v>
      </c>
      <c r="L15" s="276">
        <f>[25]Brewhouse!$O29</f>
        <v>59</v>
      </c>
      <c r="M15" s="397">
        <f>[25]Brewhouse!$U29-[25]Brewhouse!$T29</f>
        <v>0.13819444444444429</v>
      </c>
      <c r="N15" s="370">
        <f>[25]Brewhouse!$Z29</f>
        <v>0.30138888888888882</v>
      </c>
      <c r="O15" s="371" t="str">
        <f>[25]Brewhouse!$AW29</f>
        <v>K. Benjamin</v>
      </c>
      <c r="P15" s="441"/>
      <c r="Q15" s="347"/>
      <c r="S15" s="277" t="str">
        <f t="shared" si="9"/>
        <v>GUINNESS</v>
      </c>
      <c r="T15" s="296">
        <f t="shared" si="1"/>
        <v>17</v>
      </c>
      <c r="U15" s="296">
        <f t="shared" si="2"/>
        <v>17.5</v>
      </c>
      <c r="V15" s="297">
        <f t="shared" si="3"/>
        <v>0</v>
      </c>
      <c r="W15" s="297">
        <f t="shared" si="4"/>
        <v>0.1076388888888889</v>
      </c>
      <c r="X15" s="297">
        <f t="shared" si="5"/>
        <v>0.24652777777777779</v>
      </c>
      <c r="Y15" s="297">
        <f t="shared" si="6"/>
        <v>0.28472222222222221</v>
      </c>
      <c r="Z15" s="297">
        <f t="shared" si="7"/>
        <v>0</v>
      </c>
      <c r="AA15" s="296">
        <f t="shared" si="8"/>
        <v>60</v>
      </c>
    </row>
    <row r="16" spans="2:30" ht="15.75" customHeight="1">
      <c r="B16" s="34" t="s">
        <v>12</v>
      </c>
      <c r="C16" s="366" t="str">
        <f>[25]Brewhouse!$A30</f>
        <v>GU025</v>
      </c>
      <c r="D16" s="279">
        <f>[25]Brewhouse!$AF30</f>
        <v>57</v>
      </c>
      <c r="E16" s="279">
        <f>[25]Brewhouse!$AI30</f>
        <v>52.1</v>
      </c>
      <c r="F16" s="278">
        <f>[25]Brewhouse!$V30</f>
        <v>69</v>
      </c>
      <c r="G16" s="279">
        <f>[25]Brewhouse!$AG30</f>
        <v>17.11</v>
      </c>
      <c r="H16" s="396">
        <v>17.100000000000001</v>
      </c>
      <c r="I16" s="368">
        <f>[25]Brewhouse!$AU30</f>
        <v>96.37756538871183</v>
      </c>
      <c r="J16" s="368">
        <f>[25]Brewhouse!$AV30</f>
        <v>97.74267084253222</v>
      </c>
      <c r="K16" s="281">
        <f>[25]Brewhouse!$R30</f>
        <v>2.9166666666666661</v>
      </c>
      <c r="L16" s="276">
        <f>[25]Brewhouse!$O30</f>
        <v>58</v>
      </c>
      <c r="M16" s="397">
        <f>[25]Brewhouse!$U30-[25]Brewhouse!$T30</f>
        <v>0.11388888888888893</v>
      </c>
      <c r="N16" s="370">
        <f>[25]Brewhouse!$Z30</f>
        <v>0.28472222222222221</v>
      </c>
      <c r="O16" s="371" t="str">
        <f>[25]Brewhouse!$AW30</f>
        <v>R. Regis</v>
      </c>
      <c r="P16" s="441"/>
      <c r="Q16" s="347"/>
      <c r="S16" s="277" t="str">
        <f t="shared" si="9"/>
        <v>GUINNESS</v>
      </c>
      <c r="T16" s="296">
        <f t="shared" si="1"/>
        <v>17</v>
      </c>
      <c r="U16" s="296">
        <f t="shared" si="2"/>
        <v>17.5</v>
      </c>
      <c r="V16" s="297">
        <f t="shared" si="3"/>
        <v>0</v>
      </c>
      <c r="W16" s="297">
        <f t="shared" si="4"/>
        <v>0.1076388888888889</v>
      </c>
      <c r="X16" s="297">
        <f t="shared" si="5"/>
        <v>0.24652777777777779</v>
      </c>
      <c r="Y16" s="297">
        <f t="shared" si="6"/>
        <v>0.28472222222222221</v>
      </c>
      <c r="Z16" s="297">
        <f t="shared" si="7"/>
        <v>0</v>
      </c>
      <c r="AA16" s="296">
        <f t="shared" si="8"/>
        <v>60</v>
      </c>
    </row>
    <row r="17" spans="1:27" ht="15.75" customHeight="1">
      <c r="B17" s="34" t="s">
        <v>12</v>
      </c>
      <c r="C17" s="366" t="str">
        <f>[25]Brewhouse!$A31</f>
        <v>GU026</v>
      </c>
      <c r="D17" s="279">
        <f>[25]Brewhouse!$AF31</f>
        <v>57.2</v>
      </c>
      <c r="E17" s="279">
        <f>[25]Brewhouse!$AI31</f>
        <v>52.7</v>
      </c>
      <c r="F17" s="278">
        <f>[25]Brewhouse!$V31</f>
        <v>74</v>
      </c>
      <c r="G17" s="279">
        <f>[25]Brewhouse!$AG31</f>
        <v>17.079999999999998</v>
      </c>
      <c r="H17" s="396">
        <v>17.2</v>
      </c>
      <c r="I17" s="368">
        <f>[25]Brewhouse!$AU31</f>
        <v>97.487479769387974</v>
      </c>
      <c r="J17" s="368">
        <f>[25]Brewhouse!$AV31</f>
        <v>98.868306207321481</v>
      </c>
      <c r="K17" s="281">
        <f>[25]Brewhouse!$R31</f>
        <v>2.2299651567944148</v>
      </c>
      <c r="L17" s="276">
        <f>[25]Brewhouse!$O31</f>
        <v>58</v>
      </c>
      <c r="M17" s="397">
        <f>[25]Brewhouse!$U31-[25]Brewhouse!$T31</f>
        <v>0.12083333333333335</v>
      </c>
      <c r="N17" s="370">
        <f>[25]Brewhouse!$Z31</f>
        <v>0.2715277777777777</v>
      </c>
      <c r="O17" s="371" t="str">
        <f>[25]Brewhouse!$AW31</f>
        <v>R. Regis</v>
      </c>
      <c r="P17" s="441"/>
      <c r="Q17" s="347"/>
      <c r="S17" s="277" t="str">
        <f t="shared" si="9"/>
        <v>GUINNESS</v>
      </c>
      <c r="T17" s="296">
        <f t="shared" si="1"/>
        <v>17</v>
      </c>
      <c r="U17" s="296">
        <f t="shared" si="2"/>
        <v>17.5</v>
      </c>
      <c r="V17" s="297">
        <f t="shared" si="3"/>
        <v>0</v>
      </c>
      <c r="W17" s="297">
        <f t="shared" si="4"/>
        <v>0.1076388888888889</v>
      </c>
      <c r="X17" s="297">
        <f t="shared" si="5"/>
        <v>0.24652777777777779</v>
      </c>
      <c r="Y17" s="297">
        <f t="shared" si="6"/>
        <v>0.28472222222222221</v>
      </c>
      <c r="Z17" s="297">
        <f t="shared" si="7"/>
        <v>0</v>
      </c>
      <c r="AA17" s="296">
        <f t="shared" si="8"/>
        <v>60</v>
      </c>
    </row>
    <row r="18" spans="1:27" ht="15.75" customHeight="1">
      <c r="B18" s="34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16"/>
      <c r="J19" s="416"/>
      <c r="K19" s="398"/>
      <c r="L19" s="276"/>
      <c r="M19" s="374"/>
      <c r="N19" s="370"/>
      <c r="O19" s="417"/>
      <c r="P19" s="441"/>
      <c r="Q19" s="347"/>
      <c r="S19" s="277">
        <f t="shared" si="9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6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535" t="s">
        <v>6</v>
      </c>
      <c r="C25" s="362" cm="1">
        <f t="array" ref="C25:C32">[23]Process!$D$217:$D$224</f>
        <v>11.8</v>
      </c>
      <c r="D25" s="485">
        <v>11.6</v>
      </c>
      <c r="E25" s="486"/>
      <c r="F25" s="294"/>
      <c r="G25" s="294"/>
      <c r="H25" s="348"/>
      <c r="I25" s="29" t="s">
        <v>6</v>
      </c>
      <c r="K25" s="284">
        <f>COUNTA([23]Brewhouse!$A$255:$A$277)</f>
        <v>23</v>
      </c>
      <c r="L25" s="302">
        <f>AVERAGE([23]Brewhouse!$AU$255:$AU$277)</f>
        <v>99.659712133396781</v>
      </c>
      <c r="M25" s="302">
        <f>AVERAGE([23]Brewhouse!$AU$102:$AU$171,[23]Brewhouse!$AU$173:$AU$253,[23]Brewhouse!$AU$255:$AU$277)</f>
        <v>96.142753059169991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3"/>
      <c r="C26" s="349">
        <v>11.8</v>
      </c>
      <c r="D26" s="487"/>
      <c r="E26" s="488"/>
      <c r="F26" s="294"/>
      <c r="G26" s="294"/>
      <c r="H26" s="348"/>
      <c r="I26" s="33" t="s">
        <v>9</v>
      </c>
      <c r="J26" s="280"/>
      <c r="K26" s="284">
        <f>COUNTA([24]Brewhouse!$A$105:$A$112)</f>
        <v>8</v>
      </c>
      <c r="L26" s="302">
        <f>AVERAGE([24]Brewhouse!$AS$105:$AS$112)</f>
        <v>97.553056370532047</v>
      </c>
      <c r="M26" s="302">
        <f>AVERAGE([24]Brewhouse!$AS$15:$AS$64,[24]Brewhouse!$AS$66:$AS$103,[24]Brewhouse!$AS$105:$AS$112)</f>
        <v>96.026660652743928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3"/>
      <c r="C27" s="349">
        <v>11.8</v>
      </c>
      <c r="D27" s="485">
        <v>11.77</v>
      </c>
      <c r="E27" s="486"/>
      <c r="F27" s="294"/>
      <c r="G27" s="294"/>
      <c r="H27" s="348"/>
      <c r="I27" s="34" t="s">
        <v>12</v>
      </c>
      <c r="J27" s="280">
        <f>AVERAGE(I10:I17)</f>
        <v>98.193576760694924</v>
      </c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>
        <v>11.8</v>
      </c>
      <c r="D28" s="487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AVERAGE([26]Brewhouse!$AV$5:$AV$14,[26]Brewhouse!$AV$16:$AV$19)</f>
        <v>98.230957815544443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3"/>
      <c r="C29" s="349">
        <v>11.8</v>
      </c>
      <c r="D29" s="485">
        <v>11.75</v>
      </c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3"/>
      <c r="C30" s="349">
        <v>11.8</v>
      </c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>
        <v>11.6</v>
      </c>
      <c r="D31" s="485">
        <v>11.61</v>
      </c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3"/>
      <c r="C32" s="349">
        <v>11.8</v>
      </c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3"/>
      <c r="C35" s="349"/>
      <c r="D35" s="485"/>
      <c r="E35" s="486"/>
      <c r="F35" s="294"/>
      <c r="G35" s="294"/>
      <c r="H35" s="32"/>
      <c r="I35" s="1"/>
      <c r="J35" s="39"/>
      <c r="K35" s="408">
        <f>SUM(K25:K34)</f>
        <v>47</v>
      </c>
      <c r="L35" s="409">
        <f>((L25*K25)+(L26*K26)+(L27*K27)+(L28*K28)+(L29*K29)+(K32*L32)+(L30*K30)+(L31*K31)+(L34*K34))/(K35)</f>
        <v>98.78027910683339</v>
      </c>
      <c r="M35" s="409">
        <f>AVERAGE('[29]Jan 31st'!$L$65,'[30]Feb 28th'!$L$35,L35)</f>
        <v>96.741085178077469</v>
      </c>
      <c r="N35" s="40">
        <v>98</v>
      </c>
      <c r="O35" s="11"/>
      <c r="P35" s="31"/>
      <c r="S35" s="23"/>
    </row>
    <row r="36" spans="1:57" ht="15" thickBot="1">
      <c r="B36" s="534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39"/>
      <c r="C37" s="362"/>
      <c r="D37" s="498"/>
      <c r="E37" s="499"/>
      <c r="F37" s="43"/>
      <c r="G37" s="41"/>
      <c r="H37" s="41"/>
      <c r="I37" s="42"/>
      <c r="J37" s="501" t="s">
        <v>129</v>
      </c>
      <c r="K37" s="501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40"/>
      <c r="C38" s="349"/>
      <c r="D38" s="500"/>
      <c r="E38" s="488"/>
      <c r="F38" s="43"/>
      <c r="G38" s="41"/>
      <c r="H38" s="41"/>
      <c r="I38" s="41"/>
      <c r="J38" s="418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540"/>
      <c r="C39" s="349"/>
      <c r="D39" s="504"/>
      <c r="E39" s="486"/>
      <c r="F39" s="43"/>
      <c r="G39" s="41"/>
      <c r="H39" s="41"/>
      <c r="I39" s="41"/>
      <c r="J39" s="419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40"/>
      <c r="C40" s="349"/>
      <c r="D40" s="500"/>
      <c r="E40" s="488"/>
      <c r="F40" s="43"/>
      <c r="G40" s="41"/>
      <c r="H40" s="41"/>
      <c r="I40" s="41"/>
      <c r="J40" s="420" t="s">
        <v>9</v>
      </c>
      <c r="K40" s="324"/>
      <c r="L40" s="344">
        <f>AVERAGE('Mar. 3rd'!K80,'Mar. 4th'!K81,'Mar. 5th '!K50,'Mar. 6th'!K50,'Mar. 7th &amp; 8th'!J52:K52,'Mar. 10th'!K49)</f>
        <v>6.7142857142857144</v>
      </c>
      <c r="M40" s="325">
        <f>AVERAGE('[29]Jan 29th '!$M$70,'[30]Feb 28th'!$L$40,L40)</f>
        <v>6.7417582417582418</v>
      </c>
      <c r="N40" s="400">
        <v>10</v>
      </c>
      <c r="O40" s="294"/>
      <c r="P40" s="12"/>
      <c r="S40" s="23"/>
    </row>
    <row r="41" spans="1:57" ht="15" customHeight="1">
      <c r="B41" s="540"/>
      <c r="C41" s="349"/>
      <c r="D41" s="504"/>
      <c r="E41" s="486"/>
      <c r="F41" s="43"/>
      <c r="G41" s="41"/>
      <c r="H41" s="41"/>
      <c r="I41" s="41"/>
      <c r="J41" s="421" t="s">
        <v>40</v>
      </c>
      <c r="K41" s="324">
        <f>COUNTA(B10:B17)</f>
        <v>8</v>
      </c>
      <c r="L41" s="294"/>
      <c r="M41" s="294"/>
      <c r="N41" s="294"/>
      <c r="O41" s="294"/>
      <c r="P41" s="12"/>
      <c r="S41" s="23"/>
    </row>
    <row r="42" spans="1:57" ht="15" customHeight="1">
      <c r="B42" s="540"/>
      <c r="C42" s="349"/>
      <c r="D42" s="500"/>
      <c r="E42" s="488"/>
      <c r="F42" s="43"/>
      <c r="G42" s="41"/>
      <c r="H42" s="41"/>
      <c r="I42" s="41"/>
      <c r="J42" s="422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540"/>
      <c r="C43" s="349"/>
      <c r="D43" s="504"/>
      <c r="E43" s="486"/>
      <c r="F43" s="43"/>
      <c r="G43" s="41"/>
      <c r="H43" s="41"/>
      <c r="I43" s="41"/>
      <c r="J43" s="423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40"/>
      <c r="C44" s="349"/>
      <c r="D44" s="500"/>
      <c r="E44" s="488"/>
      <c r="F44" s="43"/>
      <c r="G44" s="41"/>
      <c r="H44" s="41"/>
      <c r="I44" s="41"/>
      <c r="J44" s="424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40"/>
      <c r="C45" s="349"/>
      <c r="D45" s="505"/>
      <c r="E45" s="490"/>
      <c r="F45" s="43"/>
      <c r="G45" s="41"/>
      <c r="H45" s="41"/>
      <c r="I45" s="41"/>
      <c r="J45" s="424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41"/>
      <c r="C46" s="350"/>
      <c r="D46" s="506"/>
      <c r="E46" s="507"/>
      <c r="F46" s="43"/>
      <c r="G46" s="41"/>
      <c r="H46" s="41"/>
      <c r="I46" s="41"/>
      <c r="J46" s="424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11.682499999999999</v>
      </c>
      <c r="E47" s="509"/>
      <c r="F47" s="43"/>
      <c r="G47" s="41"/>
      <c r="H47" s="41"/>
      <c r="I47" s="41"/>
      <c r="J47" s="42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1"/>
      <c r="J48" s="42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1"/>
      <c r="J49" s="42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6.4" customHeight="1" thickBot="1">
      <c r="B54" s="430" t="str">
        <f>J39</f>
        <v>CARIB</v>
      </c>
      <c r="C54" s="283">
        <v>45726</v>
      </c>
      <c r="D54" s="377">
        <f>[31]March_2025!$M$3</f>
        <v>408.9</v>
      </c>
      <c r="E54" s="378"/>
      <c r="F54" s="379">
        <f>SUM([32]CARIB!$L$14:$L$21)</f>
        <v>399.3</v>
      </c>
      <c r="G54" s="303">
        <f>[31]March_2025!$M$7</f>
        <v>371.1</v>
      </c>
      <c r="H54" s="320">
        <f>(D54-F54)/D54*100</f>
        <v>2.3477622890682235</v>
      </c>
      <c r="I54" s="322">
        <f>((F54+E54)-G54)/(F54+E54)*100</f>
        <v>7.0623591284748279</v>
      </c>
      <c r="J54" s="390" t="s">
        <v>183</v>
      </c>
      <c r="K54" s="433">
        <f>[33]March_2025!$M$18</f>
        <v>0.46387500000000004</v>
      </c>
      <c r="L54" s="314">
        <f>(((D54+E54)-G54)/(D54+E54))*100</f>
        <v>9.2443140132061519</v>
      </c>
      <c r="M54" s="357" t="s">
        <v>184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8.7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4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14.4" hidden="1" thickBot="1">
      <c r="B56" s="361"/>
      <c r="C56" s="283"/>
      <c r="D56" s="304"/>
      <c r="E56" s="279"/>
      <c r="F56" s="279"/>
      <c r="G56" s="279"/>
      <c r="H56" s="381"/>
      <c r="I56" s="382"/>
      <c r="J56" s="432"/>
      <c r="K56" s="376"/>
      <c r="L56" s="314"/>
      <c r="M56" s="354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t="45.75" hidden="1" customHeight="1" thickBot="1">
      <c r="B57" s="427"/>
      <c r="C57" s="283"/>
      <c r="D57" s="279"/>
      <c r="E57" s="279"/>
      <c r="F57" s="279"/>
      <c r="G57" s="279"/>
      <c r="H57" s="320"/>
      <c r="I57" s="322"/>
      <c r="J57" s="432"/>
      <c r="K57" s="286"/>
      <c r="L57" s="314"/>
      <c r="M57" s="384"/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ht="11.4" hidden="1" customHeight="1" thickBot="1">
      <c r="B58" s="33"/>
      <c r="C58" s="310"/>
      <c r="D58" s="279"/>
      <c r="E58" s="279"/>
      <c r="F58" s="279"/>
      <c r="G58" s="279"/>
      <c r="H58" s="352"/>
      <c r="I58" s="353"/>
      <c r="J58" s="281"/>
      <c r="K58" s="52"/>
      <c r="L58" s="53"/>
      <c r="M58" s="55"/>
      <c r="N58" s="77"/>
      <c r="O58" s="13"/>
      <c r="P58" s="56"/>
    </row>
    <row r="59" spans="2:58" ht="14.4" thickBot="1">
      <c r="B59" s="58"/>
      <c r="C59" s="309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9"/>
      <c r="O59" s="56"/>
      <c r="P59" s="60"/>
    </row>
    <row r="60" spans="2:58" ht="14.4" thickBot="1">
      <c r="B60" s="517" t="s">
        <v>55</v>
      </c>
      <c r="C60" s="518"/>
      <c r="D60" s="518"/>
      <c r="E60" s="518"/>
      <c r="F60" s="519"/>
      <c r="G60" s="517" t="s">
        <v>56</v>
      </c>
      <c r="H60" s="518"/>
      <c r="I60" s="518"/>
      <c r="J60" s="519"/>
      <c r="K60" s="517" t="s">
        <v>51</v>
      </c>
      <c r="L60" s="518"/>
      <c r="M60" s="518"/>
      <c r="N60" s="520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/>
      <c r="D62" s="76">
        <v>8.4641805691854763</v>
      </c>
      <c r="E62" s="76">
        <v>7.1447562419935888</v>
      </c>
      <c r="F62" s="66">
        <v>4.8</v>
      </c>
      <c r="G62" s="65"/>
      <c r="H62" s="76">
        <v>8.6800091866856537</v>
      </c>
      <c r="I62" s="76">
        <v>7.5723309284811187</v>
      </c>
      <c r="J62" s="66">
        <v>4.8</v>
      </c>
      <c r="K62" s="67"/>
      <c r="L62" s="194">
        <v>0.70081250000000006</v>
      </c>
      <c r="M62" s="194">
        <v>0.82433340099236829</v>
      </c>
      <c r="N62" s="68">
        <v>1</v>
      </c>
      <c r="O62" s="56"/>
      <c r="P62" s="69"/>
    </row>
    <row r="63" spans="2:58">
      <c r="B63" s="33" t="s">
        <v>9</v>
      </c>
      <c r="C63" s="65"/>
      <c r="D63" s="76">
        <v>8.2188358730951876</v>
      </c>
      <c r="E63" s="76">
        <v>6.9433565151554548</v>
      </c>
      <c r="F63" s="66">
        <v>4.8</v>
      </c>
      <c r="G63" s="65"/>
      <c r="H63" s="76">
        <v>9.4293875706034758</v>
      </c>
      <c r="I63" s="76">
        <v>7.164300983056143</v>
      </c>
      <c r="J63" s="66">
        <v>4.8</v>
      </c>
      <c r="K63" s="67"/>
      <c r="L63" s="194">
        <v>0.68762500000000004</v>
      </c>
      <c r="M63" s="194">
        <v>0.7064697347564407</v>
      </c>
      <c r="N63" s="68">
        <v>1</v>
      </c>
      <c r="P63" s="69"/>
    </row>
    <row r="64" spans="2:58">
      <c r="B64" s="34" t="s">
        <v>40</v>
      </c>
      <c r="C64" s="65">
        <f>L54</f>
        <v>9.2443140132061519</v>
      </c>
      <c r="D64" s="76">
        <v>7.5445173383317687</v>
      </c>
      <c r="E64" s="76">
        <v>12.682396771189062</v>
      </c>
      <c r="F64" s="66">
        <v>5.5</v>
      </c>
      <c r="G64" s="65">
        <f>[31]March_2025!$M$11</f>
        <v>9.9815657271524962</v>
      </c>
      <c r="H64" s="76">
        <v>8.3720217865482667</v>
      </c>
      <c r="I64" s="76">
        <v>14.322773542755614</v>
      </c>
      <c r="J64" s="66">
        <v>5.5</v>
      </c>
      <c r="K64" s="67">
        <f>K54</f>
        <v>0.46387500000000004</v>
      </c>
      <c r="L64" s="194">
        <v>0.98650000000000004</v>
      </c>
      <c r="M64" s="194">
        <v>0.56862100456621001</v>
      </c>
      <c r="N64" s="68">
        <v>1</v>
      </c>
      <c r="P64" s="69"/>
    </row>
    <row r="65" spans="2:16">
      <c r="B65" s="22" t="s">
        <v>33</v>
      </c>
      <c r="C65" s="65"/>
      <c r="D65" s="76"/>
      <c r="E65" s="76">
        <v>3.9190537266638161</v>
      </c>
      <c r="F65" s="66">
        <v>3.3</v>
      </c>
      <c r="G65" s="65"/>
      <c r="H65" s="76"/>
      <c r="I65" s="76">
        <v>5.345661717473071</v>
      </c>
      <c r="J65" s="66">
        <v>3.3</v>
      </c>
      <c r="K65" s="67"/>
      <c r="L65" s="194"/>
      <c r="M65" s="194">
        <v>0.78853801169590654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>
        <v>3.2162295893122352</v>
      </c>
      <c r="E68" s="76">
        <v>2.483389608975052</v>
      </c>
      <c r="F68" s="66">
        <v>3.3</v>
      </c>
      <c r="G68" s="282"/>
      <c r="H68" s="76">
        <v>5.2379580553094636</v>
      </c>
      <c r="I68" s="76">
        <v>4.7281120363135472</v>
      </c>
      <c r="J68" s="66">
        <v>3.3</v>
      </c>
      <c r="K68" s="67"/>
      <c r="L68" s="194">
        <v>0.97799999999999998</v>
      </c>
      <c r="M68" s="194">
        <v>0.83672897196261686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37" t="s">
        <v>165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7.6333537706928398</v>
      </c>
      <c r="E71" s="76">
        <v>7.1424509773903226</v>
      </c>
      <c r="F71" s="341">
        <v>4.5</v>
      </c>
      <c r="H71" s="76">
        <v>8.2232593816117188</v>
      </c>
      <c r="I71" s="76">
        <v>7.9542901663960848</v>
      </c>
      <c r="J71" s="341">
        <v>4.5</v>
      </c>
      <c r="L71" s="194">
        <v>0.76787499999999997</v>
      </c>
      <c r="M71" s="194">
        <v>0.75300415183867153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2">
    <mergeCell ref="M4:N4"/>
    <mergeCell ref="T1:U1"/>
    <mergeCell ref="V1:W1"/>
    <mergeCell ref="X1:Y1"/>
    <mergeCell ref="Z1:AA1"/>
    <mergeCell ref="B2:O2"/>
    <mergeCell ref="C5:D5"/>
    <mergeCell ref="B8:B9"/>
    <mergeCell ref="C8:C9"/>
    <mergeCell ref="D8:D9"/>
    <mergeCell ref="G8:G9"/>
    <mergeCell ref="Q8:Q9"/>
    <mergeCell ref="I23:N23"/>
    <mergeCell ref="D24:E24"/>
    <mergeCell ref="B25:B36"/>
    <mergeCell ref="D25:E26"/>
    <mergeCell ref="D29:E30"/>
    <mergeCell ref="D31:E32"/>
    <mergeCell ref="D33:E34"/>
    <mergeCell ref="I8:I9"/>
    <mergeCell ref="J8:J9"/>
    <mergeCell ref="K8:K9"/>
    <mergeCell ref="L8:L9"/>
    <mergeCell ref="O8:O9"/>
    <mergeCell ref="P8:P9"/>
    <mergeCell ref="H8:H9"/>
    <mergeCell ref="L38:N38"/>
    <mergeCell ref="D39:E40"/>
    <mergeCell ref="D41:E42"/>
    <mergeCell ref="D43:E44"/>
    <mergeCell ref="D45:E46"/>
    <mergeCell ref="F52:F53"/>
    <mergeCell ref="D35:E36"/>
    <mergeCell ref="B37:B46"/>
    <mergeCell ref="D37:E38"/>
    <mergeCell ref="J37:K37"/>
    <mergeCell ref="M52:M53"/>
    <mergeCell ref="B60:F60"/>
    <mergeCell ref="G60:J60"/>
    <mergeCell ref="K60:N60"/>
    <mergeCell ref="D27:E28"/>
    <mergeCell ref="G52:G53"/>
    <mergeCell ref="H52:H53"/>
    <mergeCell ref="I52:I53"/>
    <mergeCell ref="J52:J53"/>
    <mergeCell ref="K52:K53"/>
    <mergeCell ref="L52:L53"/>
    <mergeCell ref="D47:E47"/>
    <mergeCell ref="B52:B53"/>
    <mergeCell ref="C52:C53"/>
    <mergeCell ref="D52:D53"/>
    <mergeCell ref="E52:E53"/>
  </mergeCells>
  <conditionalFormatting sqref="B47:B48">
    <cfRule type="cellIs" dxfId="2336" priority="130" operator="notBetween">
      <formula>#REF!</formula>
      <formula>#REF!</formula>
    </cfRule>
  </conditionalFormatting>
  <conditionalFormatting sqref="C51">
    <cfRule type="cellIs" dxfId="2335" priority="162" stopIfTrue="1" operator="greaterThan">
      <formula>100</formula>
    </cfRule>
    <cfRule type="cellIs" dxfId="2334" priority="161" stopIfTrue="1" operator="lessThan">
      <formula>96</formula>
    </cfRule>
  </conditionalFormatting>
  <conditionalFormatting sqref="C62">
    <cfRule type="cellIs" dxfId="2333" priority="58" stopIfTrue="1" operator="greaterThan">
      <formula>$F62</formula>
    </cfRule>
  </conditionalFormatting>
  <conditionalFormatting sqref="C62:C63">
    <cfRule type="cellIs" dxfId="2332" priority="59" stopIfTrue="1" operator="lessThanOrEqual">
      <formula>0</formula>
    </cfRule>
  </conditionalFormatting>
  <conditionalFormatting sqref="C63">
    <cfRule type="cellIs" dxfId="2331" priority="165" stopIfTrue="1" operator="greaterThan">
      <formula>$F62</formula>
    </cfRule>
  </conditionalFormatting>
  <conditionalFormatting sqref="C64:C66">
    <cfRule type="cellIs" dxfId="2330" priority="86" stopIfTrue="1" operator="greaterThan">
      <formula>$F64</formula>
    </cfRule>
  </conditionalFormatting>
  <conditionalFormatting sqref="C64:C67">
    <cfRule type="cellIs" dxfId="2329" priority="109" stopIfTrue="1" operator="lessThanOrEqual">
      <formula>0</formula>
    </cfRule>
  </conditionalFormatting>
  <conditionalFormatting sqref="C67">
    <cfRule type="cellIs" dxfId="2328" priority="108" stopIfTrue="1" operator="greaterThan">
      <formula>$J67</formula>
    </cfRule>
  </conditionalFormatting>
  <conditionalFormatting sqref="C73:C77">
    <cfRule type="cellIs" dxfId="2327" priority="153" stopIfTrue="1" operator="lessThanOrEqual">
      <formula>0</formula>
    </cfRule>
  </conditionalFormatting>
  <conditionalFormatting sqref="C74:C77">
    <cfRule type="cellIs" dxfId="2326" priority="152" stopIfTrue="1" operator="greaterThan">
      <formula>$F$73</formula>
    </cfRule>
  </conditionalFormatting>
  <conditionalFormatting sqref="C79">
    <cfRule type="cellIs" dxfId="2325" priority="154" stopIfTrue="1" operator="greaterThan">
      <formula>$F$73</formula>
    </cfRule>
    <cfRule type="cellIs" dxfId="2324" priority="155" stopIfTrue="1" operator="lessThanOrEqual">
      <formula>0</formula>
    </cfRule>
  </conditionalFormatting>
  <conditionalFormatting sqref="C73:D73 D75:D81">
    <cfRule type="cellIs" dxfId="2323" priority="147" stopIfTrue="1" operator="greaterThan">
      <formula>4.5</formula>
    </cfRule>
  </conditionalFormatting>
  <conditionalFormatting sqref="D47:D48">
    <cfRule type="cellIs" dxfId="2322" priority="131" operator="notBetween">
      <formula>#REF!</formula>
      <formula>#REF!</formula>
    </cfRule>
  </conditionalFormatting>
  <conditionalFormatting sqref="D62:D69">
    <cfRule type="cellIs" dxfId="2321" priority="120" stopIfTrue="1" operator="lessThanOrEqual">
      <formula>0</formula>
    </cfRule>
  </conditionalFormatting>
  <conditionalFormatting sqref="D70">
    <cfRule type="cellIs" dxfId="2320" priority="119" stopIfTrue="1" operator="lessThanOrEqual">
      <formula>0</formula>
    </cfRule>
  </conditionalFormatting>
  <conditionalFormatting sqref="D73 D75:D81">
    <cfRule type="cellIs" dxfId="2319" priority="148" stopIfTrue="1" operator="lessThanOrEqual">
      <formula>0</formula>
    </cfRule>
  </conditionalFormatting>
  <conditionalFormatting sqref="D74">
    <cfRule type="cellIs" dxfId="2318" priority="140" stopIfTrue="1" operator="lessThanOrEqual">
      <formula>0</formula>
    </cfRule>
    <cfRule type="cellIs" dxfId="2317" priority="139" stopIfTrue="1" operator="greaterThan">
      <formula>$F$73</formula>
    </cfRule>
  </conditionalFormatting>
  <conditionalFormatting sqref="D62:E71">
    <cfRule type="cellIs" dxfId="2316" priority="29" stopIfTrue="1" operator="greaterThan">
      <formula>$F62</formula>
    </cfRule>
  </conditionalFormatting>
  <conditionalFormatting sqref="D71:E71">
    <cfRule type="cellIs" dxfId="2315" priority="30" stopIfTrue="1" operator="lessThanOrEqual">
      <formula>0</formula>
    </cfRule>
  </conditionalFormatting>
  <conditionalFormatting sqref="E10:E22">
    <cfRule type="cellIs" dxfId="2314" priority="8" operator="lessThan">
      <formula>48</formula>
    </cfRule>
  </conditionalFormatting>
  <conditionalFormatting sqref="E51">
    <cfRule type="cellIs" dxfId="2313" priority="142" stopIfTrue="1" operator="greaterThan">
      <formula>100</formula>
    </cfRule>
    <cfRule type="cellIs" dxfId="2312" priority="141" stopIfTrue="1" operator="lessThan">
      <formula>96.8</formula>
    </cfRule>
  </conditionalFormatting>
  <conditionalFormatting sqref="E62:E70">
    <cfRule type="cellIs" dxfId="2311" priority="113" stopIfTrue="1" operator="lessThanOrEqual">
      <formula>0</formula>
    </cfRule>
  </conditionalFormatting>
  <conditionalFormatting sqref="E73:E81">
    <cfRule type="cellIs" dxfId="2310" priority="134" stopIfTrue="1" operator="lessThanOrEqual">
      <formula>0</formula>
    </cfRule>
    <cfRule type="cellIs" dxfId="2309" priority="133" stopIfTrue="1" operator="greaterThan">
      <formula>4.5</formula>
    </cfRule>
  </conditionalFormatting>
  <conditionalFormatting sqref="E50:F51">
    <cfRule type="cellIs" dxfId="2308" priority="144" stopIfTrue="1" operator="greaterThan">
      <formula>100</formula>
    </cfRule>
    <cfRule type="cellIs" dxfId="2307" priority="143" stopIfTrue="1" operator="lessThan">
      <formula>96.5</formula>
    </cfRule>
  </conditionalFormatting>
  <conditionalFormatting sqref="F10:F21">
    <cfRule type="cellIs" dxfId="2306" priority="10" operator="greaterThan">
      <formula>60</formula>
    </cfRule>
  </conditionalFormatting>
  <conditionalFormatting sqref="F22">
    <cfRule type="cellIs" dxfId="2305" priority="168" operator="greaterThan">
      <formula>$AA22</formula>
    </cfRule>
    <cfRule type="cellIs" dxfId="2304" priority="169" operator="greaterThan">
      <formula>$AA59</formula>
    </cfRule>
  </conditionalFormatting>
  <conditionalFormatting sqref="F51">
    <cfRule type="cellIs" dxfId="2303" priority="160" stopIfTrue="1" operator="greaterThan">
      <formula>100</formula>
    </cfRule>
    <cfRule type="cellIs" dxfId="2302" priority="159" stopIfTrue="1" operator="lessThan">
      <formula>96.8</formula>
    </cfRule>
  </conditionalFormatting>
  <conditionalFormatting sqref="F71">
    <cfRule type="cellIs" dxfId="2301" priority="115" stopIfTrue="1" operator="lessThanOrEqual">
      <formula>0</formula>
    </cfRule>
    <cfRule type="cellIs" dxfId="2300" priority="114" stopIfTrue="1" operator="greaterThan">
      <formula>$F71</formula>
    </cfRule>
  </conditionalFormatting>
  <conditionalFormatting sqref="G62:G63 C68:C70">
    <cfRule type="cellIs" dxfId="2299" priority="121" stopIfTrue="1" operator="greaterThan">
      <formula>$F62</formula>
    </cfRule>
    <cfRule type="cellIs" dxfId="2298" priority="122" stopIfTrue="1" operator="lessThanOrEqual">
      <formula>0</formula>
    </cfRule>
  </conditionalFormatting>
  <conditionalFormatting sqref="G62:G63">
    <cfRule type="cellIs" dxfId="2297" priority="66" stopIfTrue="1" operator="lessThanOrEqual">
      <formula>0</formula>
    </cfRule>
    <cfRule type="cellIs" dxfId="2296" priority="65" stopIfTrue="1" operator="greaterThan">
      <formula>$F62</formula>
    </cfRule>
  </conditionalFormatting>
  <conditionalFormatting sqref="G64">
    <cfRule type="cellIs" dxfId="2295" priority="164" stopIfTrue="1" operator="lessThanOrEqual">
      <formula>0</formula>
    </cfRule>
    <cfRule type="cellIs" dxfId="2294" priority="163" stopIfTrue="1" operator="greaterThan">
      <formula>$F63</formula>
    </cfRule>
  </conditionalFormatting>
  <conditionalFormatting sqref="G65">
    <cfRule type="cellIs" dxfId="2293" priority="116" stopIfTrue="1" operator="greaterThan">
      <formula>$F65</formula>
    </cfRule>
    <cfRule type="cellIs" dxfId="2292" priority="117" stopIfTrue="1" operator="lessThanOrEqual">
      <formula>0</formula>
    </cfRule>
  </conditionalFormatting>
  <conditionalFormatting sqref="G66:G70">
    <cfRule type="cellIs" dxfId="2291" priority="123" stopIfTrue="1" operator="greaterThan">
      <formula>$J66</formula>
    </cfRule>
    <cfRule type="cellIs" dxfId="2290" priority="124" stopIfTrue="1" operator="lessThanOrEqual">
      <formula>0</formula>
    </cfRule>
  </conditionalFormatting>
  <conditionalFormatting sqref="G75:G80 C78 C80">
    <cfRule type="cellIs" dxfId="2289" priority="157" stopIfTrue="1" operator="lessThanOrEqual">
      <formula>0</formula>
    </cfRule>
    <cfRule type="cellIs" dxfId="2288" priority="156" stopIfTrue="1" operator="greaterThan">
      <formula>4.5</formula>
    </cfRule>
  </conditionalFormatting>
  <conditionalFormatting sqref="G10:H22">
    <cfRule type="expression" dxfId="2287" priority="1">
      <formula>IF(+(IF(G10&lt;#REF!,0,IF(G10&gt;#REF!,0,1)))=0,1)</formula>
    </cfRule>
  </conditionalFormatting>
  <conditionalFormatting sqref="G74:H74">
    <cfRule type="cellIs" dxfId="2286" priority="137" stopIfTrue="1" operator="greaterThan">
      <formula>$F$73</formula>
    </cfRule>
    <cfRule type="cellIs" dxfId="2285" priority="138" stopIfTrue="1" operator="lessThanOrEqual">
      <formula>0</formula>
    </cfRule>
  </conditionalFormatting>
  <conditionalFormatting sqref="H35:H49 G37:G48 I38:I49">
    <cfRule type="cellIs" dxfId="2284" priority="135" stopIfTrue="1" operator="greaterThan">
      <formula>0</formula>
    </cfRule>
  </conditionalFormatting>
  <conditionalFormatting sqref="H54">
    <cfRule type="cellIs" dxfId="2283" priority="43" stopIfTrue="1" operator="greaterThan">
      <formula>$F$34</formula>
    </cfRule>
    <cfRule type="cellIs" dxfId="2282" priority="44" stopIfTrue="1" operator="lessThanOrEqual">
      <formula>0</formula>
    </cfRule>
    <cfRule type="cellIs" dxfId="2281" priority="33" stopIfTrue="1" operator="greaterThan">
      <formula>$F$33</formula>
    </cfRule>
    <cfRule type="cellIs" dxfId="2280" priority="32" stopIfTrue="1" operator="lessThanOrEqual">
      <formula>0</formula>
    </cfRule>
    <cfRule type="cellIs" dxfId="2279" priority="41" stopIfTrue="1" operator="greaterThan">
      <formula>$F$36</formula>
    </cfRule>
    <cfRule type="cellIs" dxfId="2278" priority="42" stopIfTrue="1" operator="lessThanOrEqual">
      <formula>0</formula>
    </cfRule>
  </conditionalFormatting>
  <conditionalFormatting sqref="H55">
    <cfRule type="cellIs" dxfId="2277" priority="83" stopIfTrue="1" operator="lessThanOrEqual">
      <formula>0</formula>
    </cfRule>
    <cfRule type="cellIs" dxfId="2276" priority="82" stopIfTrue="1" operator="greaterThan">
      <formula>$F$64</formula>
    </cfRule>
    <cfRule type="cellIs" dxfId="2275" priority="84" stopIfTrue="1" operator="greaterThan">
      <formula>$F$62</formula>
    </cfRule>
    <cfRule type="cellIs" dxfId="2274" priority="74" stopIfTrue="1" operator="greaterThan">
      <formula>$F$61</formula>
    </cfRule>
    <cfRule type="cellIs" dxfId="2273" priority="73" stopIfTrue="1" operator="lessThanOrEqual">
      <formula>0</formula>
    </cfRule>
    <cfRule type="cellIs" dxfId="2272" priority="85" stopIfTrue="1" operator="lessThanOrEqual">
      <formula>0</formula>
    </cfRule>
  </conditionalFormatting>
  <conditionalFormatting sqref="H56">
    <cfRule type="cellIs" dxfId="2271" priority="56" stopIfTrue="1" operator="greaterThan">
      <formula>#REF!</formula>
    </cfRule>
    <cfRule type="cellIs" dxfId="2270" priority="47" stopIfTrue="1" operator="lessThanOrEqual">
      <formula>0</formula>
    </cfRule>
    <cfRule type="cellIs" dxfId="2269" priority="48" stopIfTrue="1" operator="greaterThan">
      <formula>#REF!</formula>
    </cfRule>
    <cfRule type="cellIs" dxfId="2268" priority="57" stopIfTrue="1" operator="lessThanOrEqual">
      <formula>0</formula>
    </cfRule>
  </conditionalFormatting>
  <conditionalFormatting sqref="H57">
    <cfRule type="cellIs" dxfId="2267" priority="105" stopIfTrue="1" operator="lessThanOrEqual">
      <formula>0</formula>
    </cfRule>
    <cfRule type="cellIs" dxfId="2266" priority="104" stopIfTrue="1" operator="greaterThan">
      <formula>$F$63</formula>
    </cfRule>
    <cfRule type="cellIs" dxfId="2265" priority="103" stopIfTrue="1" operator="lessThanOrEqual">
      <formula>0</formula>
    </cfRule>
    <cfRule type="cellIs" dxfId="2264" priority="102" stopIfTrue="1" operator="greaterThan">
      <formula>$F$65</formula>
    </cfRule>
    <cfRule type="cellIs" dxfId="2263" priority="68" stopIfTrue="1" operator="lessThanOrEqual">
      <formula>0</formula>
    </cfRule>
    <cfRule type="cellIs" dxfId="2262" priority="94" stopIfTrue="1" operator="greaterThan">
      <formula>$F$62</formula>
    </cfRule>
  </conditionalFormatting>
  <conditionalFormatting sqref="H58">
    <cfRule type="cellIs" dxfId="2261" priority="126" stopIfTrue="1" operator="greaterThan">
      <formula>$F$59</formula>
    </cfRule>
    <cfRule type="cellIs" dxfId="2260" priority="129" stopIfTrue="1" operator="lessThanOrEqual">
      <formula>0</formula>
    </cfRule>
    <cfRule type="cellIs" dxfId="2259" priority="128" stopIfTrue="1" operator="greaterThan">
      <formula>$F$56</formula>
    </cfRule>
    <cfRule type="cellIs" dxfId="2258" priority="127" stopIfTrue="1" operator="lessThanOrEqual">
      <formula>0</formula>
    </cfRule>
  </conditionalFormatting>
  <conditionalFormatting sqref="H62:H69">
    <cfRule type="cellIs" dxfId="2257" priority="106" stopIfTrue="1" operator="greaterThan">
      <formula>$J62</formula>
    </cfRule>
    <cfRule type="cellIs" dxfId="2256" priority="107" stopIfTrue="1" operator="lessThanOrEqual">
      <formula>0</formula>
    </cfRule>
  </conditionalFormatting>
  <conditionalFormatting sqref="H70">
    <cfRule type="cellIs" dxfId="2255" priority="110" operator="greaterThan">
      <formula>5.3</formula>
    </cfRule>
  </conditionalFormatting>
  <conditionalFormatting sqref="H73 H75:H81">
    <cfRule type="cellIs" dxfId="2254" priority="149" stopIfTrue="1" operator="greaterThan">
      <formula>4.5</formula>
    </cfRule>
    <cfRule type="cellIs" dxfId="2253" priority="150" stopIfTrue="1" operator="lessThanOrEqual">
      <formula>0</formula>
    </cfRule>
  </conditionalFormatting>
  <conditionalFormatting sqref="H54:I54">
    <cfRule type="cellIs" dxfId="2252" priority="31" stopIfTrue="1" operator="greaterThan">
      <formula>$F$35</formula>
    </cfRule>
    <cfRule type="cellIs" dxfId="2251" priority="34" stopIfTrue="1" operator="lessThanOrEqual">
      <formula>0</formula>
    </cfRule>
  </conditionalFormatting>
  <conditionalFormatting sqref="H55:I55">
    <cfRule type="cellIs" dxfId="2250" priority="72" stopIfTrue="1" operator="greaterThan">
      <formula>$F$63</formula>
    </cfRule>
    <cfRule type="cellIs" dxfId="2249" priority="75" stopIfTrue="1" operator="lessThanOrEqual">
      <formula>0</formula>
    </cfRule>
  </conditionalFormatting>
  <conditionalFormatting sqref="H56:I56">
    <cfRule type="cellIs" dxfId="2248" priority="52" stopIfTrue="1" operator="greaterThan">
      <formula>#REF!</formula>
    </cfRule>
    <cfRule type="cellIs" dxfId="2247" priority="46" stopIfTrue="1" operator="greaterThan">
      <formula>#REF!</formula>
    </cfRule>
    <cfRule type="cellIs" dxfId="2246" priority="49" stopIfTrue="1" operator="lessThanOrEqual">
      <formula>0</formula>
    </cfRule>
    <cfRule type="cellIs" dxfId="2245" priority="55" stopIfTrue="1" operator="lessThanOrEqual">
      <formula>0</formula>
    </cfRule>
  </conditionalFormatting>
  <conditionalFormatting sqref="H57:I57">
    <cfRule type="cellIs" dxfId="2244" priority="95" stopIfTrue="1" operator="lessThanOrEqual">
      <formula>0</formula>
    </cfRule>
    <cfRule type="cellIs" dxfId="2243" priority="67" stopIfTrue="1" operator="greaterThan">
      <formula>$F$64</formula>
    </cfRule>
  </conditionalFormatting>
  <conditionalFormatting sqref="H71:I71">
    <cfRule type="cellIs" dxfId="2242" priority="27" stopIfTrue="1" operator="greaterThan">
      <formula>$J71</formula>
    </cfRule>
    <cfRule type="cellIs" dxfId="2241" priority="28" stopIfTrue="1" operator="lessThanOrEqual">
      <formula>0</formula>
    </cfRule>
  </conditionalFormatting>
  <conditionalFormatting sqref="I22">
    <cfRule type="cellIs" dxfId="2240" priority="60" operator="lessThan">
      <formula>97.8</formula>
    </cfRule>
    <cfRule type="cellIs" dxfId="2239" priority="63" operator="lessThan">
      <formula>98</formula>
    </cfRule>
  </conditionalFormatting>
  <conditionalFormatting sqref="I54">
    <cfRule type="cellIs" dxfId="2238" priority="40" stopIfTrue="1" operator="lessThanOrEqual">
      <formula>0</formula>
    </cfRule>
    <cfRule type="cellIs" dxfId="2237" priority="39" stopIfTrue="1" operator="greaterThan">
      <formula>$F$33</formula>
    </cfRule>
    <cfRule type="cellIs" dxfId="2236" priority="38" stopIfTrue="1" operator="lessThanOrEqual">
      <formula>0</formula>
    </cfRule>
    <cfRule type="cellIs" dxfId="2235" priority="37" stopIfTrue="1" operator="greaterThan">
      <formula>$F$35</formula>
    </cfRule>
    <cfRule type="cellIs" dxfId="2234" priority="36" stopIfTrue="1" operator="lessThanOrEqual">
      <formula>0</formula>
    </cfRule>
    <cfRule type="cellIs" dxfId="2233" priority="35" stopIfTrue="1" operator="greaterThan">
      <formula>$F$33</formula>
    </cfRule>
  </conditionalFormatting>
  <conditionalFormatting sqref="I55">
    <cfRule type="cellIs" dxfId="2232" priority="78" stopIfTrue="1" operator="greaterThan">
      <formula>$F$63</formula>
    </cfRule>
    <cfRule type="cellIs" dxfId="2231" priority="77" stopIfTrue="1" operator="lessThanOrEqual">
      <formula>0</formula>
    </cfRule>
    <cfRule type="cellIs" dxfId="2230" priority="76" stopIfTrue="1" operator="greaterThan">
      <formula>$F$61</formula>
    </cfRule>
    <cfRule type="cellIs" dxfId="2229" priority="81" stopIfTrue="1" operator="lessThanOrEqual">
      <formula>0</formula>
    </cfRule>
    <cfRule type="cellIs" dxfId="2228" priority="80" stopIfTrue="1" operator="greaterThan">
      <formula>$F$61</formula>
    </cfRule>
    <cfRule type="cellIs" dxfId="2227" priority="79" stopIfTrue="1" operator="lessThanOrEqual">
      <formula>0</formula>
    </cfRule>
  </conditionalFormatting>
  <conditionalFormatting sqref="I56">
    <cfRule type="cellIs" dxfId="2226" priority="50" stopIfTrue="1" operator="greaterThan">
      <formula>#REF!</formula>
    </cfRule>
    <cfRule type="cellIs" dxfId="2225" priority="51" stopIfTrue="1" operator="lessThanOrEqual">
      <formula>0</formula>
    </cfRule>
    <cfRule type="cellIs" dxfId="2224" priority="53" stopIfTrue="1" operator="lessThanOrEqual">
      <formula>0</formula>
    </cfRule>
    <cfRule type="cellIs" dxfId="2223" priority="54" stopIfTrue="1" operator="greaterThan">
      <formula>#REF!</formula>
    </cfRule>
  </conditionalFormatting>
  <conditionalFormatting sqref="I57">
    <cfRule type="cellIs" dxfId="2222" priority="98" stopIfTrue="1" operator="greaterThan">
      <formula>$F$64</formula>
    </cfRule>
    <cfRule type="cellIs" dxfId="2221" priority="96" stopIfTrue="1" operator="greaterThan">
      <formula>$F$62</formula>
    </cfRule>
    <cfRule type="cellIs" dxfId="2220" priority="101" stopIfTrue="1" operator="lessThanOrEqual">
      <formula>0</formula>
    </cfRule>
    <cfRule type="cellIs" dxfId="2219" priority="100" stopIfTrue="1" operator="greaterThan">
      <formula>$F$62</formula>
    </cfRule>
    <cfRule type="cellIs" dxfId="2218" priority="99" stopIfTrue="1" operator="lessThanOrEqual">
      <formula>0</formula>
    </cfRule>
    <cfRule type="cellIs" dxfId="2217" priority="97" stopIfTrue="1" operator="lessThanOrEqual">
      <formula>0</formula>
    </cfRule>
  </conditionalFormatting>
  <conditionalFormatting sqref="I62:I70">
    <cfRule type="cellIs" dxfId="2216" priority="112" stopIfTrue="1" operator="lessThanOrEqual">
      <formula>0</formula>
    </cfRule>
    <cfRule type="cellIs" dxfId="2215" priority="111" stopIfTrue="1" operator="greaterThan">
      <formula>$J62</formula>
    </cfRule>
  </conditionalFormatting>
  <conditionalFormatting sqref="I73:I81">
    <cfRule type="cellIs" dxfId="2214" priority="145" stopIfTrue="1" operator="greaterThan">
      <formula>4.5</formula>
    </cfRule>
    <cfRule type="cellIs" dxfId="2213" priority="146" stopIfTrue="1" operator="lessThanOrEqual">
      <formula>0</formula>
    </cfRule>
  </conditionalFormatting>
  <conditionalFormatting sqref="I10:J21">
    <cfRule type="cellIs" dxfId="2212" priority="11" operator="lessThan">
      <formula>97.9</formula>
    </cfRule>
  </conditionalFormatting>
  <conditionalFormatting sqref="J22">
    <cfRule type="cellIs" dxfId="2211" priority="61" operator="notBetween">
      <formula>98</formula>
      <formula>99.9</formula>
    </cfRule>
    <cfRule type="cellIs" dxfId="2210" priority="62" operator="lessThan">
      <formula>97.4</formula>
    </cfRule>
  </conditionalFormatting>
  <conditionalFormatting sqref="J26:J27">
    <cfRule type="cellIs" dxfId="2209" priority="88" stopIfTrue="1" operator="greaterThan">
      <formula>100</formula>
    </cfRule>
    <cfRule type="cellIs" dxfId="2208" priority="87" stopIfTrue="1" operator="lessThan">
      <formula>96.8</formula>
    </cfRule>
    <cfRule type="cellIs" dxfId="2207" priority="89" operator="lessThan">
      <formula>98</formula>
    </cfRule>
  </conditionalFormatting>
  <conditionalFormatting sqref="J26:J29">
    <cfRule type="cellIs" dxfId="2206" priority="64" operator="lessThan">
      <formula>97.4</formula>
    </cfRule>
  </conditionalFormatting>
  <conditionalFormatting sqref="J30">
    <cfRule type="cellIs" dxfId="2205" priority="90" operator="lessThan">
      <formula>98</formula>
    </cfRule>
  </conditionalFormatting>
  <conditionalFormatting sqref="J31:J33">
    <cfRule type="cellIs" dxfId="2204" priority="91" stopIfTrue="1" operator="lessThan">
      <formula>96.8</formula>
    </cfRule>
    <cfRule type="cellIs" dxfId="2203" priority="92" stopIfTrue="1" operator="greaterThan">
      <formula>100</formula>
    </cfRule>
  </conditionalFormatting>
  <conditionalFormatting sqref="J31:J34">
    <cfRule type="cellIs" dxfId="2202" priority="93" operator="lessThan">
      <formula>98</formula>
    </cfRule>
  </conditionalFormatting>
  <conditionalFormatting sqref="J71">
    <cfRule type="cellIs" dxfId="2201" priority="25" stopIfTrue="1" operator="lessThanOrEqual">
      <formula>0</formula>
    </cfRule>
    <cfRule type="cellIs" dxfId="2200" priority="24" stopIfTrue="1" operator="greaterThan">
      <formula>$F71</formula>
    </cfRule>
  </conditionalFormatting>
  <conditionalFormatting sqref="K10:K22">
    <cfRule type="cellIs" dxfId="2199" priority="4" operator="greaterThan">
      <formula>6</formula>
    </cfRule>
    <cfRule type="cellIs" dxfId="2198" priority="5" operator="lessThan">
      <formula>4</formula>
    </cfRule>
    <cfRule type="cellIs" dxfId="2197" priority="9" operator="greaterThan">
      <formula>6.4</formula>
    </cfRule>
  </conditionalFormatting>
  <conditionalFormatting sqref="K39:K48">
    <cfRule type="cellIs" dxfId="2196" priority="118" operator="notEqual">
      <formula>#REF!</formula>
    </cfRule>
  </conditionalFormatting>
  <conditionalFormatting sqref="K54:K58 K62:N70">
    <cfRule type="cellIs" dxfId="2195" priority="125" stopIfTrue="1" operator="lessThan">
      <formula>100%</formula>
    </cfRule>
  </conditionalFormatting>
  <conditionalFormatting sqref="K73:K78">
    <cfRule type="cellIs" dxfId="2194" priority="151" stopIfTrue="1" operator="lessThan">
      <formula>100%</formula>
    </cfRule>
  </conditionalFormatting>
  <conditionalFormatting sqref="K80:K81">
    <cfRule type="cellIs" dxfId="2193" priority="158" stopIfTrue="1" operator="lessThan">
      <formula>100%</formula>
    </cfRule>
  </conditionalFormatting>
  <conditionalFormatting sqref="L10:L22">
    <cfRule type="cellIs" dxfId="2192" priority="7" operator="greaterThan">
      <formula>65</formula>
    </cfRule>
    <cfRule type="cellIs" dxfId="2191" priority="6" operator="between">
      <formula>61</formula>
      <formula>65</formula>
    </cfRule>
  </conditionalFormatting>
  <conditionalFormatting sqref="L25:M36">
    <cfRule type="cellIs" dxfId="2190" priority="45" operator="lessThan">
      <formula>98</formula>
    </cfRule>
  </conditionalFormatting>
  <conditionalFormatting sqref="L40:N40">
    <cfRule type="cellIs" dxfId="2189" priority="69" operator="notEqual">
      <formula>#REF!</formula>
    </cfRule>
  </conditionalFormatting>
  <conditionalFormatting sqref="L71:N71">
    <cfRule type="cellIs" dxfId="2188" priority="26" stopIfTrue="1" operator="lessThan">
      <formula>100%</formula>
    </cfRule>
  </conditionalFormatting>
  <conditionalFormatting sqref="L73:N81">
    <cfRule type="cellIs" dxfId="2187" priority="136" stopIfTrue="1" operator="lessThan">
      <formula>100%</formula>
    </cfRule>
  </conditionalFormatting>
  <conditionalFormatting sqref="M10:M22">
    <cfRule type="expression" dxfId="2186" priority="2">
      <formula>IF(+(IF(M10&lt;V10,0,IF(M10&gt;W10,0,1)))=0,1)</formula>
    </cfRule>
  </conditionalFormatting>
  <conditionalFormatting sqref="M6:N6">
    <cfRule type="cellIs" dxfId="2185" priority="71" operator="greaterThanOrEqual">
      <formula>19</formula>
    </cfRule>
    <cfRule type="cellIs" dxfId="2184" priority="70" operator="greaterThanOrEqual">
      <formula>15</formula>
    </cfRule>
  </conditionalFormatting>
  <conditionalFormatting sqref="N10:N22">
    <cfRule type="expression" dxfId="2183" priority="3">
      <formula>IF(+(IF(N10&lt;X10,0,IF(N10&gt;Y10,0,1)))=0,1)</formula>
    </cfRule>
  </conditionalFormatting>
  <conditionalFormatting sqref="N22">
    <cfRule type="expression" dxfId="2182" priority="166">
      <formula>IF(+(IF(N22&lt;X64,0,IF(N22&gt;Y64,0,1)))=0,1)</formula>
    </cfRule>
    <cfRule type="expression" dxfId="2181" priority="167">
      <formula>IF(+(IF(N22&lt;X59,0,IF(N22&gt;Y59,0,1)))=0,1)</formula>
    </cfRule>
  </conditionalFormatting>
  <conditionalFormatting sqref="P6">
    <cfRule type="cellIs" dxfId="2180" priority="132" operator="greaterThanOrEqual">
      <formula>19</formula>
    </cfRule>
  </conditionalFormatting>
  <dataValidations count="1">
    <dataValidation type="list" allowBlank="1" showInputMessage="1" showErrorMessage="1" sqref="S8 B22" xr:uid="{C501DA88-731E-4AAB-AC60-7C88DEE605FE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639B-AB80-4644-80C3-A1F051B5FE34}">
  <sheetPr>
    <pageSetUpPr fitToPage="1"/>
  </sheetPr>
  <dimension ref="A1:BF83"/>
  <sheetViews>
    <sheetView zoomScale="80" zoomScaleNormal="80" workbookViewId="0">
      <selection activeCell="D71" sqref="D71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bestFit="1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45728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[23]Brewhouse!$A278</f>
        <v>CA175</v>
      </c>
      <c r="D10" s="279">
        <f>[23]Brewhouse!$AF278</f>
        <v>56.5</v>
      </c>
      <c r="E10" s="279">
        <f>[23]Brewhouse!$AI278</f>
        <v>54.8</v>
      </c>
      <c r="F10" s="278">
        <f>[23]Brewhouse!$V278</f>
        <v>74</v>
      </c>
      <c r="G10" s="279">
        <f>[23]Brewhouse!$AG278</f>
        <v>11.7</v>
      </c>
      <c r="H10" s="396">
        <v>11.8</v>
      </c>
      <c r="I10" s="368">
        <f>[23]Brewhouse!$AU278</f>
        <v>108.34535319131975</v>
      </c>
      <c r="J10" s="368">
        <f>[23]Brewhouse!$AV278</f>
        <v>110.13426664057377</v>
      </c>
      <c r="K10" s="281">
        <f>[23]Brewhouse!$Q278</f>
        <v>6.8173913043478294</v>
      </c>
      <c r="L10" s="276">
        <f>[23]Brewhouse!$P278</f>
        <v>60</v>
      </c>
      <c r="M10" s="397">
        <f>[23]Brewhouse!$U278-[23]Brewhouse!$T278</f>
        <v>0.14513888888888887</v>
      </c>
      <c r="N10" s="370">
        <f>[23]Brewhouse!$Z278</f>
        <v>0.2986111111111111</v>
      </c>
      <c r="O10" s="371" t="str">
        <f>[23]Brewhouse!$AX278</f>
        <v>R.Regis</v>
      </c>
      <c r="P10" s="441" t="s">
        <v>186</v>
      </c>
      <c r="Q10" s="347"/>
      <c r="S10" s="277" t="str">
        <f t="shared" ref="S10:S22" si="0">B10</f>
        <v>CARIB</v>
      </c>
      <c r="T10" s="296">
        <f t="shared" ref="T10:T22" si="1">VLOOKUP($B10,$S$3:$Y$9,2,FALSE)</f>
        <v>11.6</v>
      </c>
      <c r="U10" s="296">
        <f t="shared" ref="U10:U22" si="2">VLOOKUP($B10,$S$3:$Y$9,3,FALSE)</f>
        <v>12</v>
      </c>
      <c r="V10" s="297">
        <f t="shared" ref="V10:V22" si="3">VLOOKUP($B10,$S$3:$Y$9,4,FALSE)</f>
        <v>0</v>
      </c>
      <c r="W10" s="297">
        <f t="shared" ref="W10:W22" si="4">VLOOKUP($B10,$S$3:$Y$9,5,FALSE)</f>
        <v>0.118055555555556</v>
      </c>
      <c r="X10" s="297">
        <f t="shared" ref="X10:X22" si="5">VLOOKUP($B10,$S$3:$Y$9,6,FALSE)</f>
        <v>0.22569444444444445</v>
      </c>
      <c r="Y10" s="297">
        <f t="shared" ref="Y10:Y22" si="6">VLOOKUP($B10,$S$3:$Y$9,7,FALSE)</f>
        <v>0.2638888888888889</v>
      </c>
      <c r="Z10" s="297">
        <f t="shared" ref="Z10:Z22" si="7">VLOOKUP($B10,$S$3:$AA$9,8,FALSE)</f>
        <v>0</v>
      </c>
      <c r="AA10" s="296">
        <f t="shared" ref="AA10:AA22" si="8">VLOOKUP($B10,$S$3:$AA$9,9,FALSE)</f>
        <v>60</v>
      </c>
    </row>
    <row r="11" spans="2:30" ht="15.75" customHeight="1">
      <c r="B11" s="29" t="s">
        <v>6</v>
      </c>
      <c r="C11" s="366" t="str">
        <f>[23]Brewhouse!$A279</f>
        <v>CA176</v>
      </c>
      <c r="D11" s="279">
        <f>[23]Brewhouse!$AF279</f>
        <v>54.4</v>
      </c>
      <c r="E11" s="279">
        <f>[23]Brewhouse!$AI279</f>
        <v>50.8</v>
      </c>
      <c r="F11" s="278">
        <f>[23]Brewhouse!$V279</f>
        <v>54</v>
      </c>
      <c r="G11" s="279">
        <f>[23]Brewhouse!$AG279</f>
        <v>11.73</v>
      </c>
      <c r="H11" s="396">
        <v>11.8</v>
      </c>
      <c r="I11" s="368">
        <f>[23]Brewhouse!$AU279</f>
        <v>97.455960743822175</v>
      </c>
      <c r="J11" s="368">
        <f>[23]Brewhouse!$AV279</f>
        <v>99.067250718309481</v>
      </c>
      <c r="K11" s="281">
        <f>[23]Brewhouse!$Q279</f>
        <v>6.7491166077738516</v>
      </c>
      <c r="L11" s="276">
        <f>[23]Brewhouse!$P279</f>
        <v>59</v>
      </c>
      <c r="M11" s="397">
        <f>[23]Brewhouse!$U279-[23]Brewhouse!$T279</f>
        <v>0.10763888888888895</v>
      </c>
      <c r="N11" s="370">
        <f>[23]Brewhouse!$Z279</f>
        <v>0.25625000000000003</v>
      </c>
      <c r="O11" s="371" t="str">
        <f>[23]Brewhouse!$AX279</f>
        <v>R.Sookram</v>
      </c>
      <c r="P11" s="441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[23]Brewhouse!$A280</f>
        <v>CA177</v>
      </c>
      <c r="D12" s="279">
        <f>[23]Brewhouse!$AF280</f>
        <v>53.3</v>
      </c>
      <c r="E12" s="279">
        <f>[23]Brewhouse!$AI280</f>
        <v>49.7</v>
      </c>
      <c r="F12" s="278">
        <f>[23]Brewhouse!$V280</f>
        <v>54</v>
      </c>
      <c r="G12" s="279">
        <f>[23]Brewhouse!$AG280</f>
        <v>11.84</v>
      </c>
      <c r="H12" s="396">
        <v>11.8</v>
      </c>
      <c r="I12" s="368">
        <f>[23]Brewhouse!$AU280</f>
        <v>96.084434808486492</v>
      </c>
      <c r="J12" s="368">
        <f>[23]Brewhouse!$AV280</f>
        <v>97.673135170899329</v>
      </c>
      <c r="K12" s="281">
        <f>[23]Brewhouse!$Q280</f>
        <v>5.7706093189964145</v>
      </c>
      <c r="L12" s="276">
        <f>[23]Brewhouse!$P280</f>
        <v>57</v>
      </c>
      <c r="M12" s="397">
        <f>[23]Brewhouse!$U280-[23]Brewhouse!$T280</f>
        <v>0.10486111111111107</v>
      </c>
      <c r="N12" s="370">
        <f>[23]Brewhouse!$Z280</f>
        <v>0.26041666666666663</v>
      </c>
      <c r="O12" s="371" t="str">
        <f>[23]Brewhouse!$AX280</f>
        <v>K.Benjamin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[23]Brewhouse!$A281</f>
        <v>CA178</v>
      </c>
      <c r="D13" s="279">
        <f>[23]Brewhouse!$AF281</f>
        <v>54.5</v>
      </c>
      <c r="E13" s="279">
        <f>[23]Brewhouse!$AI281</f>
        <v>51</v>
      </c>
      <c r="F13" s="278">
        <f>[23]Brewhouse!$V281</f>
        <v>55</v>
      </c>
      <c r="G13" s="279">
        <f>[23]Brewhouse!$AG281</f>
        <v>11.77</v>
      </c>
      <c r="H13" s="396">
        <v>11.8</v>
      </c>
      <c r="I13" s="368">
        <f>[23]Brewhouse!$AU281</f>
        <v>98.233712305667396</v>
      </c>
      <c r="J13" s="368">
        <f>[23]Brewhouse!$AV281</f>
        <v>99.858213839648386</v>
      </c>
      <c r="K13" s="281">
        <f>[23]Brewhouse!$Q281</f>
        <v>6.0746003552397774</v>
      </c>
      <c r="L13" s="276">
        <f>[23]Brewhouse!$P281</f>
        <v>59</v>
      </c>
      <c r="M13" s="397">
        <f>[23]Brewhouse!$U281-[23]Brewhouse!$T281</f>
        <v>0.11597222222222214</v>
      </c>
      <c r="N13" s="370">
        <f>[23]Brewhouse!$Z281</f>
        <v>0.25138888888888888</v>
      </c>
      <c r="O13" s="371" t="str">
        <f>[23]Brewhouse!$AX281</f>
        <v>K.Benjamin</v>
      </c>
      <c r="P13" s="441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[23]Brewhouse!$A282</f>
        <v>CA179</v>
      </c>
      <c r="D14" s="279">
        <f>[23]Brewhouse!$AF282</f>
        <v>54.1</v>
      </c>
      <c r="E14" s="279">
        <f>[23]Brewhouse!$AI282</f>
        <v>50.4</v>
      </c>
      <c r="F14" s="278">
        <f>[23]Brewhouse!$V282</f>
        <v>56</v>
      </c>
      <c r="G14" s="279">
        <f>[23]Brewhouse!$AG282</f>
        <v>11.98</v>
      </c>
      <c r="H14" s="396">
        <v>11.9</v>
      </c>
      <c r="I14" s="368">
        <f>[23]Brewhouse!$AU282</f>
        <v>98.24308419119933</v>
      </c>
      <c r="J14" s="368">
        <f>[23]Brewhouse!$AV282</f>
        <v>99.801416269981829</v>
      </c>
      <c r="K14" s="281">
        <f>[23]Brewhouse!$Q282</f>
        <v>5.1865008880994576</v>
      </c>
      <c r="L14" s="276">
        <f>[23]Brewhouse!$P282</f>
        <v>60</v>
      </c>
      <c r="M14" s="397">
        <f>[23]Brewhouse!$U282-[23]Brewhouse!$T282</f>
        <v>0.10624999999999996</v>
      </c>
      <c r="N14" s="370">
        <f>[23]Brewhouse!$Z282</f>
        <v>0.2451388888888888</v>
      </c>
      <c r="O14" s="371" t="str">
        <f>[23]Brewhouse!$AX282</f>
        <v>R.Regis</v>
      </c>
      <c r="P14" s="441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[23]Brewhouse!$A283</f>
        <v>CA180</v>
      </c>
      <c r="D15" s="279">
        <f>[23]Brewhouse!$AF283</f>
        <v>54.4</v>
      </c>
      <c r="E15" s="279">
        <f>[23]Brewhouse!$AI283</f>
        <v>50.8</v>
      </c>
      <c r="F15" s="278">
        <f>[23]Brewhouse!$V283</f>
        <v>58</v>
      </c>
      <c r="G15" s="279">
        <f>[23]Brewhouse!$AG283</f>
        <v>11.78</v>
      </c>
      <c r="H15" s="396">
        <v>11.8</v>
      </c>
      <c r="I15" s="368">
        <f>[23]Brewhouse!$AU283</f>
        <v>98.332506588615331</v>
      </c>
      <c r="J15" s="368">
        <f>[23]Brewhouse!$AV283</f>
        <v>99.958288950444711</v>
      </c>
      <c r="K15" s="281">
        <f>[23]Brewhouse!$Q283</f>
        <v>5.659050966608083</v>
      </c>
      <c r="L15" s="276">
        <f>[23]Brewhouse!$P283</f>
        <v>60</v>
      </c>
      <c r="M15" s="397">
        <f>[23]Brewhouse!$U283-[23]Brewhouse!$T283</f>
        <v>0.10555555555555562</v>
      </c>
      <c r="N15" s="370">
        <f>[23]Brewhouse!$Z283</f>
        <v>0.24791666666666667</v>
      </c>
      <c r="O15" s="371" t="str">
        <f>[23]Brewhouse!$AX283</f>
        <v>R.Regis</v>
      </c>
      <c r="P15" s="441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41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41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>
      <c r="B18" s="34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16"/>
      <c r="J19" s="416"/>
      <c r="K19" s="398"/>
      <c r="L19" s="276"/>
      <c r="M19" s="374"/>
      <c r="N19" s="370"/>
      <c r="O19" s="417"/>
      <c r="P19" s="441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6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546" t="s">
        <v>16</v>
      </c>
      <c r="C25" s="362" cm="1">
        <f t="array" ref="C25:C28">[22]Process!$D$25:$D$28</f>
        <v>17.73</v>
      </c>
      <c r="D25" s="485">
        <v>17.22</v>
      </c>
      <c r="E25" s="486"/>
      <c r="F25" s="294"/>
      <c r="G25" s="294"/>
      <c r="H25" s="348"/>
      <c r="I25" s="29" t="s">
        <v>6</v>
      </c>
      <c r="J25" s="280">
        <f>AVERAGE(I10:I15)</f>
        <v>99.44917530485175</v>
      </c>
      <c r="K25" s="284">
        <f>COUNTA([23]Brewhouse!$A$255:$A$283)</f>
        <v>29</v>
      </c>
      <c r="L25" s="302">
        <f>AVERAGE([23]Brewhouse!$AU$255:$AU$283)</f>
        <v>99.616152789559862</v>
      </c>
      <c r="M25" s="302">
        <f>AVERAGE([23]Brewhouse!$AU$102:$AU$171,[23]Brewhouse!$AU$173:$AU$253,[23]Brewhouse!$AU$255:$AU$283)</f>
        <v>96.252967134026036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40"/>
      <c r="C26" s="349">
        <v>17.260000000000002</v>
      </c>
      <c r="D26" s="487"/>
      <c r="E26" s="488"/>
      <c r="F26" s="294"/>
      <c r="G26" s="294"/>
      <c r="H26" s="348"/>
      <c r="I26" s="33" t="s">
        <v>9</v>
      </c>
      <c r="J26" s="280"/>
      <c r="K26" s="284">
        <f>COUNTA([24]Brewhouse!$A$105:$A$112)</f>
        <v>8</v>
      </c>
      <c r="L26" s="302">
        <f>AVERAGE([24]Brewhouse!$AS$105:$AS$112)</f>
        <v>97.553056370532047</v>
      </c>
      <c r="M26" s="302">
        <f>AVERAGE([24]Brewhouse!$AS$15:$AS$64,[24]Brewhouse!$AS$66:$AS$103,[24]Brewhouse!$AS$105:$AS$112)</f>
        <v>96.026660652743928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40"/>
      <c r="C27" s="349">
        <v>17.399999999999999</v>
      </c>
      <c r="D27" s="485">
        <v>17.16</v>
      </c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40"/>
      <c r="C28" s="349">
        <v>17.48</v>
      </c>
      <c r="D28" s="487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AVERAGE([26]Brewhouse!$AV$5:$AV$14,[26]Brewhouse!$AV$16:$AV$19)</f>
        <v>98.230957815544443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40"/>
      <c r="C29" s="349"/>
      <c r="D29" s="485"/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40"/>
      <c r="C30" s="349"/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40"/>
      <c r="C31" s="349"/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40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40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40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40"/>
      <c r="C35" s="349"/>
      <c r="D35" s="485"/>
      <c r="E35" s="486"/>
      <c r="F35" s="294"/>
      <c r="G35" s="294"/>
      <c r="H35" s="32"/>
      <c r="I35" s="1"/>
      <c r="J35" s="39"/>
      <c r="K35" s="408">
        <f>SUM(K25:K34)</f>
        <v>53</v>
      </c>
      <c r="L35" s="409">
        <f>((L25*K25)+(L26*K26)+(L27*K27)+(L28*K28)+(L29*K29)+(K32*L32)+(L30*K30)+(L31*K31)+(L34*K34))/(K35)</f>
        <v>98.856003204722256</v>
      </c>
      <c r="M35" s="409">
        <f>AVERAGE('[29]Jan 31st'!$L$65,'[30]Feb 28th'!$L$35,L35)</f>
        <v>96.766326544040439</v>
      </c>
      <c r="N35" s="40">
        <v>98</v>
      </c>
      <c r="O35" s="11"/>
      <c r="P35" s="31"/>
      <c r="S35" s="23"/>
    </row>
    <row r="36" spans="1:57" ht="15" thickBot="1">
      <c r="B36" s="541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39"/>
      <c r="C37" s="362"/>
      <c r="D37" s="498"/>
      <c r="E37" s="499"/>
      <c r="F37" s="43"/>
      <c r="G37" s="41"/>
      <c r="H37" s="41"/>
      <c r="I37" s="42"/>
      <c r="J37" s="501" t="s">
        <v>129</v>
      </c>
      <c r="K37" s="501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40"/>
      <c r="C38" s="349"/>
      <c r="D38" s="500"/>
      <c r="E38" s="488"/>
      <c r="F38" s="43"/>
      <c r="G38" s="41"/>
      <c r="H38" s="41"/>
      <c r="I38" s="41"/>
      <c r="J38" s="418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540"/>
      <c r="C39" s="349"/>
      <c r="D39" s="504"/>
      <c r="E39" s="486"/>
      <c r="F39" s="43"/>
      <c r="G39" s="41"/>
      <c r="H39" s="41"/>
      <c r="I39" s="41"/>
      <c r="J39" s="419" t="s">
        <v>6</v>
      </c>
      <c r="K39" s="324">
        <f>COUNTA(B10:B15)</f>
        <v>6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40"/>
      <c r="C40" s="349"/>
      <c r="D40" s="500"/>
      <c r="E40" s="488"/>
      <c r="F40" s="43"/>
      <c r="G40" s="41"/>
      <c r="H40" s="41"/>
      <c r="I40" s="41"/>
      <c r="J40" s="420" t="s">
        <v>9</v>
      </c>
      <c r="K40" s="324"/>
      <c r="L40" s="344">
        <f>AVERAGE('Mar. 3rd'!K80,'Mar. 4th'!K81,'Mar. 5th '!K50,'Mar. 6th'!K50,'Mar. 7th &amp; 8th'!J52:K52,'Mar. 10th'!K49,'Mar. 11th'!K49)</f>
        <v>6.625</v>
      </c>
      <c r="M40" s="325">
        <f>AVERAGE('[29]Jan 29th '!$M$70,'[30]Feb 28th'!$L$40,L40)</f>
        <v>6.7119963369963367</v>
      </c>
      <c r="N40" s="400">
        <v>10</v>
      </c>
      <c r="O40" s="294"/>
      <c r="P40" s="12"/>
      <c r="S40" s="23"/>
    </row>
    <row r="41" spans="1:57" ht="15" customHeight="1">
      <c r="B41" s="540"/>
      <c r="C41" s="349"/>
      <c r="D41" s="504"/>
      <c r="E41" s="486"/>
      <c r="F41" s="43"/>
      <c r="G41" s="41"/>
      <c r="H41" s="41"/>
      <c r="I41" s="41"/>
      <c r="J41" s="421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540"/>
      <c r="C42" s="349"/>
      <c r="D42" s="500"/>
      <c r="E42" s="488"/>
      <c r="F42" s="43"/>
      <c r="G42" s="41"/>
      <c r="H42" s="41"/>
      <c r="I42" s="41"/>
      <c r="J42" s="422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540"/>
      <c r="C43" s="349"/>
      <c r="D43" s="504"/>
      <c r="E43" s="486"/>
      <c r="F43" s="43"/>
      <c r="G43" s="41"/>
      <c r="H43" s="41"/>
      <c r="I43" s="41"/>
      <c r="J43" s="423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40"/>
      <c r="C44" s="349"/>
      <c r="D44" s="500"/>
      <c r="E44" s="488"/>
      <c r="F44" s="43"/>
      <c r="G44" s="41"/>
      <c r="H44" s="41"/>
      <c r="I44" s="41"/>
      <c r="J44" s="424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40"/>
      <c r="C45" s="349"/>
      <c r="D45" s="505"/>
      <c r="E45" s="490"/>
      <c r="F45" s="43"/>
      <c r="G45" s="41"/>
      <c r="H45" s="41"/>
      <c r="I45" s="41"/>
      <c r="J45" s="424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41"/>
      <c r="C46" s="350"/>
      <c r="D46" s="506"/>
      <c r="E46" s="507"/>
      <c r="F46" s="43"/>
      <c r="G46" s="41"/>
      <c r="H46" s="41"/>
      <c r="I46" s="41"/>
      <c r="J46" s="424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17.189999999999998</v>
      </c>
      <c r="E47" s="509"/>
      <c r="F47" s="43"/>
      <c r="G47" s="41"/>
      <c r="H47" s="41"/>
      <c r="I47" s="41"/>
      <c r="J47" s="42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1"/>
      <c r="J48" s="42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1"/>
      <c r="J49" s="42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6.4" customHeight="1" thickBot="1">
      <c r="B54" s="440" t="str">
        <f>J43</f>
        <v>STARMALT</v>
      </c>
      <c r="C54" s="283">
        <v>45727</v>
      </c>
      <c r="D54" s="377">
        <f>[31]March_2025!$N$55</f>
        <v>206.1</v>
      </c>
      <c r="E54" s="378"/>
      <c r="F54" s="379"/>
      <c r="G54" s="303">
        <f>[31]March_2025!$N$59</f>
        <v>200.1</v>
      </c>
      <c r="H54" s="320"/>
      <c r="I54" s="322"/>
      <c r="J54" s="390" t="s">
        <v>168</v>
      </c>
      <c r="K54" s="433">
        <f>[33]March_2025!$N$53</f>
        <v>1.0004999999999999</v>
      </c>
      <c r="L54" s="281">
        <f>(((D54+E54)-G54)/(D54+E54))*100</f>
        <v>2.9112081513828238</v>
      </c>
      <c r="M54" s="357" t="s">
        <v>167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8.7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4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14.4" hidden="1" thickBot="1">
      <c r="B56" s="361"/>
      <c r="C56" s="283"/>
      <c r="D56" s="304"/>
      <c r="E56" s="279"/>
      <c r="F56" s="279"/>
      <c r="G56" s="279"/>
      <c r="H56" s="381"/>
      <c r="I56" s="382"/>
      <c r="J56" s="432"/>
      <c r="K56" s="376"/>
      <c r="L56" s="314"/>
      <c r="M56" s="354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t="45.75" hidden="1" customHeight="1" thickBot="1">
      <c r="B57" s="427"/>
      <c r="C57" s="283"/>
      <c r="D57" s="279"/>
      <c r="E57" s="279"/>
      <c r="F57" s="279"/>
      <c r="G57" s="279"/>
      <c r="H57" s="320"/>
      <c r="I57" s="322"/>
      <c r="J57" s="432"/>
      <c r="K57" s="286"/>
      <c r="L57" s="314"/>
      <c r="M57" s="384"/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ht="11.4" hidden="1" customHeight="1" thickBot="1">
      <c r="B58" s="33"/>
      <c r="C58" s="310"/>
      <c r="D58" s="279"/>
      <c r="E58" s="279"/>
      <c r="F58" s="279"/>
      <c r="G58" s="279"/>
      <c r="H58" s="352"/>
      <c r="I58" s="353"/>
      <c r="J58" s="281"/>
      <c r="K58" s="52"/>
      <c r="L58" s="53"/>
      <c r="M58" s="55"/>
      <c r="N58" s="77"/>
      <c r="O58" s="13"/>
      <c r="P58" s="56"/>
    </row>
    <row r="59" spans="2:58" ht="14.4" thickBot="1">
      <c r="B59" s="58"/>
      <c r="C59" s="309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9"/>
      <c r="O59" s="56"/>
      <c r="P59" s="60"/>
    </row>
    <row r="60" spans="2:58" ht="14.4" thickBot="1">
      <c r="B60" s="517" t="s">
        <v>55</v>
      </c>
      <c r="C60" s="518"/>
      <c r="D60" s="518"/>
      <c r="E60" s="518"/>
      <c r="F60" s="519"/>
      <c r="G60" s="517" t="s">
        <v>56</v>
      </c>
      <c r="H60" s="518"/>
      <c r="I60" s="518"/>
      <c r="J60" s="519"/>
      <c r="K60" s="517" t="s">
        <v>51</v>
      </c>
      <c r="L60" s="518"/>
      <c r="M60" s="518"/>
      <c r="N60" s="520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/>
      <c r="D62" s="76">
        <v>8.4641805691854763</v>
      </c>
      <c r="E62" s="76">
        <v>7.1447562419935888</v>
      </c>
      <c r="F62" s="66">
        <v>4.8</v>
      </c>
      <c r="G62" s="65"/>
      <c r="H62" s="76">
        <v>8.6800091866856537</v>
      </c>
      <c r="I62" s="76">
        <v>7.5723309284811187</v>
      </c>
      <c r="J62" s="66">
        <v>4.8</v>
      </c>
      <c r="K62" s="67"/>
      <c r="L62" s="194">
        <v>0.70081250000000006</v>
      </c>
      <c r="M62" s="194">
        <v>0.82433340099236829</v>
      </c>
      <c r="N62" s="68">
        <v>1</v>
      </c>
      <c r="O62" s="56"/>
      <c r="P62" s="69"/>
    </row>
    <row r="63" spans="2:58">
      <c r="B63" s="33" t="s">
        <v>9</v>
      </c>
      <c r="C63" s="65"/>
      <c r="D63" s="76">
        <v>8.2188358730951876</v>
      </c>
      <c r="E63" s="76">
        <v>6.9433565151554548</v>
      </c>
      <c r="F63" s="66">
        <v>4.8</v>
      </c>
      <c r="G63" s="65"/>
      <c r="H63" s="76">
        <v>9.4293875706034758</v>
      </c>
      <c r="I63" s="76">
        <v>7.164300983056143</v>
      </c>
      <c r="J63" s="66">
        <v>4.8</v>
      </c>
      <c r="K63" s="67"/>
      <c r="L63" s="194">
        <v>0.68762500000000004</v>
      </c>
      <c r="M63" s="194">
        <v>0.7064697347564407</v>
      </c>
      <c r="N63" s="68">
        <v>1</v>
      </c>
      <c r="P63" s="69"/>
    </row>
    <row r="64" spans="2:58">
      <c r="B64" s="34" t="s">
        <v>40</v>
      </c>
      <c r="C64" s="65"/>
      <c r="D64" s="76">
        <v>7.5445173383317687</v>
      </c>
      <c r="E64" s="76">
        <v>12.682396771189062</v>
      </c>
      <c r="F64" s="66">
        <v>5.5</v>
      </c>
      <c r="G64" s="65"/>
      <c r="H64" s="76">
        <v>8.3720217865482667</v>
      </c>
      <c r="I64" s="76">
        <v>14.322773542755614</v>
      </c>
      <c r="J64" s="66">
        <v>5.5</v>
      </c>
      <c r="K64" s="67"/>
      <c r="L64" s="194">
        <v>0.98650000000000004</v>
      </c>
      <c r="M64" s="194">
        <v>0.56862100456621001</v>
      </c>
      <c r="N64" s="68">
        <v>1</v>
      </c>
      <c r="P64" s="69"/>
    </row>
    <row r="65" spans="2:16">
      <c r="B65" s="22" t="s">
        <v>33</v>
      </c>
      <c r="C65" s="65"/>
      <c r="D65" s="76"/>
      <c r="E65" s="76">
        <v>3.9190537266638161</v>
      </c>
      <c r="F65" s="66">
        <v>3.3</v>
      </c>
      <c r="G65" s="65"/>
      <c r="H65" s="76"/>
      <c r="I65" s="76">
        <v>5.345661717473071</v>
      </c>
      <c r="J65" s="66">
        <v>3.3</v>
      </c>
      <c r="K65" s="67"/>
      <c r="L65" s="194"/>
      <c r="M65" s="194">
        <v>0.78853801169590654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>
        <f>L54</f>
        <v>2.9112081513828238</v>
      </c>
      <c r="D68" s="76">
        <v>3.0622243998040313</v>
      </c>
      <c r="E68" s="76">
        <v>2.5618217399039276</v>
      </c>
      <c r="F68" s="66">
        <v>3.3</v>
      </c>
      <c r="G68" s="282">
        <f>[31]March_2025!$N$63</f>
        <v>4.5735095634511769</v>
      </c>
      <c r="H68" s="76">
        <v>4.90230047253743</v>
      </c>
      <c r="I68" s="76">
        <v>4.6996399261015078</v>
      </c>
      <c r="J68" s="66">
        <v>3.3</v>
      </c>
      <c r="K68" s="67">
        <f>K54</f>
        <v>1.0004999999999999</v>
      </c>
      <c r="L68" s="194">
        <v>0.98924999999999996</v>
      </c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37" t="s">
        <v>165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7.1035871754395625</v>
      </c>
      <c r="E71" s="76">
        <v>7.0886514825012279</v>
      </c>
      <c r="F71" s="341">
        <v>4.5</v>
      </c>
      <c r="H71" s="76">
        <v>7.6983126945978277</v>
      </c>
      <c r="I71" s="76">
        <v>7.8953650582106762</v>
      </c>
      <c r="J71" s="341">
        <v>4.5</v>
      </c>
      <c r="L71" s="194">
        <v>0.79372222222222222</v>
      </c>
      <c r="M71" s="194">
        <v>0.75590562719812437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D47:E47"/>
    <mergeCell ref="B52:B53"/>
    <mergeCell ref="C52:C53"/>
    <mergeCell ref="D52:D53"/>
    <mergeCell ref="E52:E53"/>
    <mergeCell ref="M52:M53"/>
    <mergeCell ref="B60:F60"/>
    <mergeCell ref="G60:J60"/>
    <mergeCell ref="K60:N60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2179" priority="133" operator="notBetween">
      <formula>#REF!</formula>
      <formula>#REF!</formula>
    </cfRule>
  </conditionalFormatting>
  <conditionalFormatting sqref="C51">
    <cfRule type="cellIs" dxfId="2178" priority="165" stopIfTrue="1" operator="greaterThan">
      <formula>100</formula>
    </cfRule>
    <cfRule type="cellIs" dxfId="2177" priority="164" stopIfTrue="1" operator="lessThan">
      <formula>96</formula>
    </cfRule>
  </conditionalFormatting>
  <conditionalFormatting sqref="C62">
    <cfRule type="cellIs" dxfId="2176" priority="61" stopIfTrue="1" operator="greaterThan">
      <formula>$F62</formula>
    </cfRule>
  </conditionalFormatting>
  <conditionalFormatting sqref="C62:C63">
    <cfRule type="cellIs" dxfId="2175" priority="62" stopIfTrue="1" operator="lessThanOrEqual">
      <formula>0</formula>
    </cfRule>
  </conditionalFormatting>
  <conditionalFormatting sqref="C63">
    <cfRule type="cellIs" dxfId="2174" priority="168" stopIfTrue="1" operator="greaterThan">
      <formula>$F62</formula>
    </cfRule>
  </conditionalFormatting>
  <conditionalFormatting sqref="C64:C66">
    <cfRule type="cellIs" dxfId="2173" priority="89" stopIfTrue="1" operator="greaterThan">
      <formula>$F64</formula>
    </cfRule>
  </conditionalFormatting>
  <conditionalFormatting sqref="C64:C67">
    <cfRule type="cellIs" dxfId="2172" priority="112" stopIfTrue="1" operator="lessThanOrEqual">
      <formula>0</formula>
    </cfRule>
  </conditionalFormatting>
  <conditionalFormatting sqref="C67">
    <cfRule type="cellIs" dxfId="2171" priority="111" stopIfTrue="1" operator="greaterThan">
      <formula>$J67</formula>
    </cfRule>
  </conditionalFormatting>
  <conditionalFormatting sqref="C73:C77">
    <cfRule type="cellIs" dxfId="2170" priority="156" stopIfTrue="1" operator="lessThanOrEqual">
      <formula>0</formula>
    </cfRule>
  </conditionalFormatting>
  <conditionalFormatting sqref="C74:C77">
    <cfRule type="cellIs" dxfId="2169" priority="155" stopIfTrue="1" operator="greaterThan">
      <formula>$F$73</formula>
    </cfRule>
  </conditionalFormatting>
  <conditionalFormatting sqref="C79">
    <cfRule type="cellIs" dxfId="2168" priority="158" stopIfTrue="1" operator="lessThanOrEqual">
      <formula>0</formula>
    </cfRule>
    <cfRule type="cellIs" dxfId="2167" priority="157" stopIfTrue="1" operator="greaterThan">
      <formula>$F$73</formula>
    </cfRule>
  </conditionalFormatting>
  <conditionalFormatting sqref="C73:D73 D75:D81">
    <cfRule type="cellIs" dxfId="2166" priority="150" stopIfTrue="1" operator="greaterThan">
      <formula>4.5</formula>
    </cfRule>
  </conditionalFormatting>
  <conditionalFormatting sqref="D47:D48">
    <cfRule type="cellIs" dxfId="2165" priority="134" operator="notBetween">
      <formula>#REF!</formula>
      <formula>#REF!</formula>
    </cfRule>
  </conditionalFormatting>
  <conditionalFormatting sqref="D62:D69">
    <cfRule type="cellIs" dxfId="2164" priority="123" stopIfTrue="1" operator="lessThanOrEqual">
      <formula>0</formula>
    </cfRule>
  </conditionalFormatting>
  <conditionalFormatting sqref="D70">
    <cfRule type="cellIs" dxfId="2163" priority="122" stopIfTrue="1" operator="lessThanOrEqual">
      <formula>0</formula>
    </cfRule>
  </conditionalFormatting>
  <conditionalFormatting sqref="D73 D75:D81">
    <cfRule type="cellIs" dxfId="2162" priority="151" stopIfTrue="1" operator="lessThanOrEqual">
      <formula>0</formula>
    </cfRule>
  </conditionalFormatting>
  <conditionalFormatting sqref="D74">
    <cfRule type="cellIs" dxfId="2161" priority="143" stopIfTrue="1" operator="lessThanOrEqual">
      <formula>0</formula>
    </cfRule>
    <cfRule type="cellIs" dxfId="2160" priority="142" stopIfTrue="1" operator="greaterThan">
      <formula>$F$73</formula>
    </cfRule>
  </conditionalFormatting>
  <conditionalFormatting sqref="D62:E71">
    <cfRule type="cellIs" dxfId="2159" priority="32" stopIfTrue="1" operator="greaterThan">
      <formula>$F62</formula>
    </cfRule>
  </conditionalFormatting>
  <conditionalFormatting sqref="D71:E71">
    <cfRule type="cellIs" dxfId="2158" priority="33" stopIfTrue="1" operator="lessThanOrEqual">
      <formula>0</formula>
    </cfRule>
  </conditionalFormatting>
  <conditionalFormatting sqref="E10:E22">
    <cfRule type="cellIs" dxfId="2157" priority="12" operator="lessThan">
      <formula>48</formula>
    </cfRule>
  </conditionalFormatting>
  <conditionalFormatting sqref="E51">
    <cfRule type="cellIs" dxfId="2156" priority="144" stopIfTrue="1" operator="lessThan">
      <formula>96.8</formula>
    </cfRule>
    <cfRule type="cellIs" dxfId="2155" priority="145" stopIfTrue="1" operator="greaterThan">
      <formula>100</formula>
    </cfRule>
  </conditionalFormatting>
  <conditionalFormatting sqref="E62:E70">
    <cfRule type="cellIs" dxfId="2154" priority="116" stopIfTrue="1" operator="lessThanOrEqual">
      <formula>0</formula>
    </cfRule>
  </conditionalFormatting>
  <conditionalFormatting sqref="E73:E81">
    <cfRule type="cellIs" dxfId="2153" priority="136" stopIfTrue="1" operator="greaterThan">
      <formula>4.5</formula>
    </cfRule>
    <cfRule type="cellIs" dxfId="2152" priority="137" stopIfTrue="1" operator="lessThanOrEqual">
      <formula>0</formula>
    </cfRule>
  </conditionalFormatting>
  <conditionalFormatting sqref="E50:F51">
    <cfRule type="cellIs" dxfId="2151" priority="147" stopIfTrue="1" operator="greaterThan">
      <formula>100</formula>
    </cfRule>
    <cfRule type="cellIs" dxfId="2150" priority="146" stopIfTrue="1" operator="lessThan">
      <formula>96.5</formula>
    </cfRule>
  </conditionalFormatting>
  <conditionalFormatting sqref="F10:F21">
    <cfRule type="cellIs" dxfId="2149" priority="14" operator="greaterThan">
      <formula>60</formula>
    </cfRule>
  </conditionalFormatting>
  <conditionalFormatting sqref="F22">
    <cfRule type="cellIs" dxfId="2148" priority="171" operator="greaterThan">
      <formula>$AA22</formula>
    </cfRule>
    <cfRule type="cellIs" dxfId="2147" priority="172" operator="greaterThan">
      <formula>$AA59</formula>
    </cfRule>
  </conditionalFormatting>
  <conditionalFormatting sqref="F51">
    <cfRule type="cellIs" dxfId="2146" priority="162" stopIfTrue="1" operator="lessThan">
      <formula>96.8</formula>
    </cfRule>
    <cfRule type="cellIs" dxfId="2145" priority="163" stopIfTrue="1" operator="greaterThan">
      <formula>100</formula>
    </cfRule>
  </conditionalFormatting>
  <conditionalFormatting sqref="F71">
    <cfRule type="cellIs" dxfId="2144" priority="118" stopIfTrue="1" operator="lessThanOrEqual">
      <formula>0</formula>
    </cfRule>
    <cfRule type="cellIs" dxfId="2143" priority="117" stopIfTrue="1" operator="greaterThan">
      <formula>$F71</formula>
    </cfRule>
  </conditionalFormatting>
  <conditionalFormatting sqref="G62:G63 C68:C70">
    <cfRule type="cellIs" dxfId="2142" priority="125" stopIfTrue="1" operator="lessThanOrEqual">
      <formula>0</formula>
    </cfRule>
    <cfRule type="cellIs" dxfId="2141" priority="124" stopIfTrue="1" operator="greaterThan">
      <formula>$F62</formula>
    </cfRule>
  </conditionalFormatting>
  <conditionalFormatting sqref="G62:G63">
    <cfRule type="cellIs" dxfId="2140" priority="69" stopIfTrue="1" operator="lessThanOrEqual">
      <formula>0</formula>
    </cfRule>
    <cfRule type="cellIs" dxfId="2139" priority="68" stopIfTrue="1" operator="greaterThan">
      <formula>$F62</formula>
    </cfRule>
  </conditionalFormatting>
  <conditionalFormatting sqref="G64">
    <cfRule type="cellIs" dxfId="2138" priority="166" stopIfTrue="1" operator="greaterThan">
      <formula>$F63</formula>
    </cfRule>
    <cfRule type="cellIs" dxfId="2137" priority="167" stopIfTrue="1" operator="lessThanOrEqual">
      <formula>0</formula>
    </cfRule>
  </conditionalFormatting>
  <conditionalFormatting sqref="G65">
    <cfRule type="cellIs" dxfId="2136" priority="120" stopIfTrue="1" operator="lessThanOrEqual">
      <formula>0</formula>
    </cfRule>
    <cfRule type="cellIs" dxfId="2135" priority="119" stopIfTrue="1" operator="greaterThan">
      <formula>$F65</formula>
    </cfRule>
  </conditionalFormatting>
  <conditionalFormatting sqref="G66:G70">
    <cfRule type="cellIs" dxfId="2134" priority="127" stopIfTrue="1" operator="lessThanOrEqual">
      <formula>0</formula>
    </cfRule>
    <cfRule type="cellIs" dxfId="2133" priority="126" stopIfTrue="1" operator="greaterThan">
      <formula>$J66</formula>
    </cfRule>
  </conditionalFormatting>
  <conditionalFormatting sqref="G75:G80 C78 C80">
    <cfRule type="cellIs" dxfId="2132" priority="159" stopIfTrue="1" operator="greaterThan">
      <formula>4.5</formula>
    </cfRule>
    <cfRule type="cellIs" dxfId="2131" priority="160" stopIfTrue="1" operator="lessThanOrEqual">
      <formula>0</formula>
    </cfRule>
  </conditionalFormatting>
  <conditionalFormatting sqref="G10:H22">
    <cfRule type="expression" dxfId="2130" priority="5">
      <formula>IF(+(IF(G10&lt;#REF!,0,IF(G10&gt;#REF!,0,1)))=0,1)</formula>
    </cfRule>
  </conditionalFormatting>
  <conditionalFormatting sqref="G74:H74">
    <cfRule type="cellIs" dxfId="2129" priority="140" stopIfTrue="1" operator="greaterThan">
      <formula>$F$73</formula>
    </cfRule>
    <cfRule type="cellIs" dxfId="2128" priority="141" stopIfTrue="1" operator="lessThanOrEqual">
      <formula>0</formula>
    </cfRule>
  </conditionalFormatting>
  <conditionalFormatting sqref="H35:H49 G37:G48 I38:I49">
    <cfRule type="cellIs" dxfId="2127" priority="138" stopIfTrue="1" operator="greaterThan">
      <formula>0</formula>
    </cfRule>
  </conditionalFormatting>
  <conditionalFormatting sqref="H54">
    <cfRule type="cellIs" dxfId="2126" priority="35" stopIfTrue="1" operator="lessThanOrEqual">
      <formula>0</formula>
    </cfRule>
    <cfRule type="cellIs" dxfId="2125" priority="44" stopIfTrue="1" operator="greaterThan">
      <formula>$F$36</formula>
    </cfRule>
    <cfRule type="cellIs" dxfId="2124" priority="36" stopIfTrue="1" operator="greaterThan">
      <formula>$F$33</formula>
    </cfRule>
    <cfRule type="cellIs" dxfId="2123" priority="45" stopIfTrue="1" operator="lessThanOrEqual">
      <formula>0</formula>
    </cfRule>
    <cfRule type="cellIs" dxfId="2122" priority="46" stopIfTrue="1" operator="greaterThan">
      <formula>$F$34</formula>
    </cfRule>
    <cfRule type="cellIs" dxfId="2121" priority="47" stopIfTrue="1" operator="lessThanOrEqual">
      <formula>0</formula>
    </cfRule>
  </conditionalFormatting>
  <conditionalFormatting sqref="H55">
    <cfRule type="cellIs" dxfId="2120" priority="88" stopIfTrue="1" operator="lessThanOrEqual">
      <formula>0</formula>
    </cfRule>
    <cfRule type="cellIs" dxfId="2119" priority="76" stopIfTrue="1" operator="lessThanOrEqual">
      <formula>0</formula>
    </cfRule>
    <cfRule type="cellIs" dxfId="2118" priority="77" stopIfTrue="1" operator="greaterThan">
      <formula>$F$61</formula>
    </cfRule>
    <cfRule type="cellIs" dxfId="2117" priority="85" stopIfTrue="1" operator="greaterThan">
      <formula>$F$64</formula>
    </cfRule>
    <cfRule type="cellIs" dxfId="2116" priority="86" stopIfTrue="1" operator="lessThanOrEqual">
      <formula>0</formula>
    </cfRule>
    <cfRule type="cellIs" dxfId="2115" priority="87" stopIfTrue="1" operator="greaterThan">
      <formula>$F$62</formula>
    </cfRule>
  </conditionalFormatting>
  <conditionalFormatting sqref="H56">
    <cfRule type="cellIs" dxfId="2114" priority="50" stopIfTrue="1" operator="lessThanOrEqual">
      <formula>0</formula>
    </cfRule>
    <cfRule type="cellIs" dxfId="2113" priority="51" stopIfTrue="1" operator="greaterThan">
      <formula>#REF!</formula>
    </cfRule>
    <cfRule type="cellIs" dxfId="2112" priority="59" stopIfTrue="1" operator="greaterThan">
      <formula>#REF!</formula>
    </cfRule>
    <cfRule type="cellIs" dxfId="2111" priority="60" stopIfTrue="1" operator="lessThanOrEqual">
      <formula>0</formula>
    </cfRule>
  </conditionalFormatting>
  <conditionalFormatting sqref="H57">
    <cfRule type="cellIs" dxfId="2110" priority="106" stopIfTrue="1" operator="lessThanOrEqual">
      <formula>0</formula>
    </cfRule>
    <cfRule type="cellIs" dxfId="2109" priority="105" stopIfTrue="1" operator="greaterThan">
      <formula>$F$65</formula>
    </cfRule>
    <cfRule type="cellIs" dxfId="2108" priority="71" stopIfTrue="1" operator="lessThanOrEqual">
      <formula>0</formula>
    </cfRule>
    <cfRule type="cellIs" dxfId="2107" priority="97" stopIfTrue="1" operator="greaterThan">
      <formula>$F$62</formula>
    </cfRule>
    <cfRule type="cellIs" dxfId="2106" priority="108" stopIfTrue="1" operator="lessThanOrEqual">
      <formula>0</formula>
    </cfRule>
    <cfRule type="cellIs" dxfId="2105" priority="107" stopIfTrue="1" operator="greaterThan">
      <formula>$F$63</formula>
    </cfRule>
  </conditionalFormatting>
  <conditionalFormatting sqref="H58">
    <cfRule type="cellIs" dxfId="2104" priority="129" stopIfTrue="1" operator="greaterThan">
      <formula>$F$59</formula>
    </cfRule>
    <cfRule type="cellIs" dxfId="2103" priority="130" stopIfTrue="1" operator="lessThanOrEqual">
      <formula>0</formula>
    </cfRule>
    <cfRule type="cellIs" dxfId="2102" priority="131" stopIfTrue="1" operator="greaterThan">
      <formula>$F$56</formula>
    </cfRule>
    <cfRule type="cellIs" dxfId="2101" priority="132" stopIfTrue="1" operator="lessThanOrEqual">
      <formula>0</formula>
    </cfRule>
  </conditionalFormatting>
  <conditionalFormatting sqref="H62:H69">
    <cfRule type="cellIs" dxfId="2100" priority="110" stopIfTrue="1" operator="lessThanOrEqual">
      <formula>0</formula>
    </cfRule>
    <cfRule type="cellIs" dxfId="2099" priority="109" stopIfTrue="1" operator="greaterThan">
      <formula>$J62</formula>
    </cfRule>
  </conditionalFormatting>
  <conditionalFormatting sqref="H70">
    <cfRule type="cellIs" dxfId="2098" priority="113" operator="greaterThan">
      <formula>5.3</formula>
    </cfRule>
  </conditionalFormatting>
  <conditionalFormatting sqref="H73 H75:H81">
    <cfRule type="cellIs" dxfId="2097" priority="152" stopIfTrue="1" operator="greaterThan">
      <formula>4.5</formula>
    </cfRule>
    <cfRule type="cellIs" dxfId="2096" priority="153" stopIfTrue="1" operator="lessThanOrEqual">
      <formula>0</formula>
    </cfRule>
  </conditionalFormatting>
  <conditionalFormatting sqref="H54:I54">
    <cfRule type="cellIs" dxfId="2095" priority="37" stopIfTrue="1" operator="lessThanOrEqual">
      <formula>0</formula>
    </cfRule>
    <cfRule type="cellIs" dxfId="2094" priority="34" stopIfTrue="1" operator="greaterThan">
      <formula>$F$35</formula>
    </cfRule>
  </conditionalFormatting>
  <conditionalFormatting sqref="H55:I55">
    <cfRule type="cellIs" dxfId="2093" priority="75" stopIfTrue="1" operator="greaterThan">
      <formula>$F$63</formula>
    </cfRule>
    <cfRule type="cellIs" dxfId="2092" priority="78" stopIfTrue="1" operator="lessThanOrEqual">
      <formula>0</formula>
    </cfRule>
  </conditionalFormatting>
  <conditionalFormatting sqref="H56:I56">
    <cfRule type="cellIs" dxfId="2091" priority="58" stopIfTrue="1" operator="lessThanOrEqual">
      <formula>0</formula>
    </cfRule>
    <cfRule type="cellIs" dxfId="2090" priority="55" stopIfTrue="1" operator="greaterThan">
      <formula>#REF!</formula>
    </cfRule>
    <cfRule type="cellIs" dxfId="2089" priority="52" stopIfTrue="1" operator="lessThanOrEqual">
      <formula>0</formula>
    </cfRule>
    <cfRule type="cellIs" dxfId="2088" priority="49" stopIfTrue="1" operator="greaterThan">
      <formula>#REF!</formula>
    </cfRule>
  </conditionalFormatting>
  <conditionalFormatting sqref="H57:I57">
    <cfRule type="cellIs" dxfId="2087" priority="70" stopIfTrue="1" operator="greaterThan">
      <formula>$F$64</formula>
    </cfRule>
    <cfRule type="cellIs" dxfId="2086" priority="98" stopIfTrue="1" operator="lessThanOrEqual">
      <formula>0</formula>
    </cfRule>
  </conditionalFormatting>
  <conditionalFormatting sqref="H71:I71">
    <cfRule type="cellIs" dxfId="2085" priority="31" stopIfTrue="1" operator="lessThanOrEqual">
      <formula>0</formula>
    </cfRule>
    <cfRule type="cellIs" dxfId="2084" priority="30" stopIfTrue="1" operator="greaterThan">
      <formula>$J71</formula>
    </cfRule>
  </conditionalFormatting>
  <conditionalFormatting sqref="I22">
    <cfRule type="cellIs" dxfId="2083" priority="66" operator="lessThan">
      <formula>98</formula>
    </cfRule>
    <cfRule type="cellIs" dxfId="2082" priority="63" operator="lessThan">
      <formula>97.8</formula>
    </cfRule>
  </conditionalFormatting>
  <conditionalFormatting sqref="I54">
    <cfRule type="cellIs" dxfId="2081" priority="40" stopIfTrue="1" operator="greaterThan">
      <formula>$F$35</formula>
    </cfRule>
    <cfRule type="cellIs" dxfId="2080" priority="39" stopIfTrue="1" operator="lessThanOrEqual">
      <formula>0</formula>
    </cfRule>
    <cfRule type="cellIs" dxfId="2079" priority="38" stopIfTrue="1" operator="greaterThan">
      <formula>$F$33</formula>
    </cfRule>
    <cfRule type="cellIs" dxfId="2078" priority="43" stopIfTrue="1" operator="lessThanOrEqual">
      <formula>0</formula>
    </cfRule>
    <cfRule type="cellIs" dxfId="2077" priority="42" stopIfTrue="1" operator="greaterThan">
      <formula>$F$33</formula>
    </cfRule>
    <cfRule type="cellIs" dxfId="2076" priority="41" stopIfTrue="1" operator="lessThanOrEqual">
      <formula>0</formula>
    </cfRule>
  </conditionalFormatting>
  <conditionalFormatting sqref="I55">
    <cfRule type="cellIs" dxfId="2075" priority="83" stopIfTrue="1" operator="greaterThan">
      <formula>$F$61</formula>
    </cfRule>
    <cfRule type="cellIs" dxfId="2074" priority="82" stopIfTrue="1" operator="lessThanOrEqual">
      <formula>0</formula>
    </cfRule>
    <cfRule type="cellIs" dxfId="2073" priority="84" stopIfTrue="1" operator="lessThanOrEqual">
      <formula>0</formula>
    </cfRule>
    <cfRule type="cellIs" dxfId="2072" priority="79" stopIfTrue="1" operator="greaterThan">
      <formula>$F$61</formula>
    </cfRule>
    <cfRule type="cellIs" dxfId="2071" priority="80" stopIfTrue="1" operator="lessThanOrEqual">
      <formula>0</formula>
    </cfRule>
    <cfRule type="cellIs" dxfId="2070" priority="81" stopIfTrue="1" operator="greaterThan">
      <formula>$F$63</formula>
    </cfRule>
  </conditionalFormatting>
  <conditionalFormatting sqref="I56">
    <cfRule type="cellIs" dxfId="2069" priority="56" stopIfTrue="1" operator="lessThanOrEqual">
      <formula>0</formula>
    </cfRule>
    <cfRule type="cellIs" dxfId="2068" priority="54" stopIfTrue="1" operator="lessThanOrEqual">
      <formula>0</formula>
    </cfRule>
    <cfRule type="cellIs" dxfId="2067" priority="53" stopIfTrue="1" operator="greaterThan">
      <formula>#REF!</formula>
    </cfRule>
    <cfRule type="cellIs" dxfId="2066" priority="57" stopIfTrue="1" operator="greaterThan">
      <formula>#REF!</formula>
    </cfRule>
  </conditionalFormatting>
  <conditionalFormatting sqref="I57">
    <cfRule type="cellIs" dxfId="2065" priority="100" stopIfTrue="1" operator="lessThanOrEqual">
      <formula>0</formula>
    </cfRule>
    <cfRule type="cellIs" dxfId="2064" priority="99" stopIfTrue="1" operator="greaterThan">
      <formula>$F$62</formula>
    </cfRule>
    <cfRule type="cellIs" dxfId="2063" priority="101" stopIfTrue="1" operator="greaterThan">
      <formula>$F$64</formula>
    </cfRule>
    <cfRule type="cellIs" dxfId="2062" priority="102" stopIfTrue="1" operator="lessThanOrEqual">
      <formula>0</formula>
    </cfRule>
    <cfRule type="cellIs" dxfId="2061" priority="103" stopIfTrue="1" operator="greaterThan">
      <formula>$F$62</formula>
    </cfRule>
    <cfRule type="cellIs" dxfId="2060" priority="104" stopIfTrue="1" operator="lessThanOrEqual">
      <formula>0</formula>
    </cfRule>
  </conditionalFormatting>
  <conditionalFormatting sqref="I62:I70">
    <cfRule type="cellIs" dxfId="2059" priority="114" stopIfTrue="1" operator="greaterThan">
      <formula>$J62</formula>
    </cfRule>
    <cfRule type="cellIs" dxfId="2058" priority="115" stopIfTrue="1" operator="lessThanOrEqual">
      <formula>0</formula>
    </cfRule>
  </conditionalFormatting>
  <conditionalFormatting sqref="I73:I81">
    <cfRule type="cellIs" dxfId="2057" priority="149" stopIfTrue="1" operator="lessThanOrEqual">
      <formula>0</formula>
    </cfRule>
    <cfRule type="cellIs" dxfId="2056" priority="148" stopIfTrue="1" operator="greaterThan">
      <formula>4.5</formula>
    </cfRule>
  </conditionalFormatting>
  <conditionalFormatting sqref="I10:J21">
    <cfRule type="cellIs" dxfId="2055" priority="15" operator="lessThan">
      <formula>97.9</formula>
    </cfRule>
  </conditionalFormatting>
  <conditionalFormatting sqref="J22">
    <cfRule type="cellIs" dxfId="2054" priority="65" operator="lessThan">
      <formula>97.4</formula>
    </cfRule>
    <cfRule type="cellIs" dxfId="2053" priority="64" operator="notBetween">
      <formula>98</formula>
      <formula>99.9</formula>
    </cfRule>
  </conditionalFormatting>
  <conditionalFormatting sqref="J25:J27">
    <cfRule type="cellIs" dxfId="2052" priority="2" stopIfTrue="1" operator="lessThan">
      <formula>96.8</formula>
    </cfRule>
    <cfRule type="cellIs" dxfId="2051" priority="4" operator="lessThan">
      <formula>98</formula>
    </cfRule>
    <cfRule type="cellIs" dxfId="2050" priority="3" stopIfTrue="1" operator="greaterThan">
      <formula>100</formula>
    </cfRule>
  </conditionalFormatting>
  <conditionalFormatting sqref="J25:J29">
    <cfRule type="cellIs" dxfId="2049" priority="1" operator="lessThan">
      <formula>97.4</formula>
    </cfRule>
  </conditionalFormatting>
  <conditionalFormatting sqref="J30">
    <cfRule type="cellIs" dxfId="2048" priority="93" operator="lessThan">
      <formula>98</formula>
    </cfRule>
  </conditionalFormatting>
  <conditionalFormatting sqref="J31:J33">
    <cfRule type="cellIs" dxfId="2047" priority="95" stopIfTrue="1" operator="greaterThan">
      <formula>100</formula>
    </cfRule>
    <cfRule type="cellIs" dxfId="2046" priority="94" stopIfTrue="1" operator="lessThan">
      <formula>96.8</formula>
    </cfRule>
  </conditionalFormatting>
  <conditionalFormatting sqref="J31:J34">
    <cfRule type="cellIs" dxfId="2045" priority="96" operator="lessThan">
      <formula>98</formula>
    </cfRule>
  </conditionalFormatting>
  <conditionalFormatting sqref="J71">
    <cfRule type="cellIs" dxfId="2044" priority="28" stopIfTrue="1" operator="lessThanOrEqual">
      <formula>0</formula>
    </cfRule>
    <cfRule type="cellIs" dxfId="2043" priority="27" stopIfTrue="1" operator="greaterThan">
      <formula>$F71</formula>
    </cfRule>
  </conditionalFormatting>
  <conditionalFormatting sqref="K10:K22">
    <cfRule type="cellIs" dxfId="2042" priority="8" operator="greaterThan">
      <formula>6</formula>
    </cfRule>
    <cfRule type="cellIs" dxfId="2041" priority="9" operator="lessThan">
      <formula>4</formula>
    </cfRule>
    <cfRule type="cellIs" dxfId="2040" priority="13" operator="greaterThan">
      <formula>6.4</formula>
    </cfRule>
  </conditionalFormatting>
  <conditionalFormatting sqref="K39:K48">
    <cfRule type="cellIs" dxfId="2039" priority="121" operator="notEqual">
      <formula>#REF!</formula>
    </cfRule>
  </conditionalFormatting>
  <conditionalFormatting sqref="K54:K58 K62:N70">
    <cfRule type="cellIs" dxfId="2038" priority="128" stopIfTrue="1" operator="lessThan">
      <formula>100%</formula>
    </cfRule>
  </conditionalFormatting>
  <conditionalFormatting sqref="K73:K78">
    <cfRule type="cellIs" dxfId="2037" priority="154" stopIfTrue="1" operator="lessThan">
      <formula>100%</formula>
    </cfRule>
  </conditionalFormatting>
  <conditionalFormatting sqref="K80:K81">
    <cfRule type="cellIs" dxfId="2036" priority="161" stopIfTrue="1" operator="lessThan">
      <formula>100%</formula>
    </cfRule>
  </conditionalFormatting>
  <conditionalFormatting sqref="L10:L22">
    <cfRule type="cellIs" dxfId="2035" priority="10" operator="between">
      <formula>61</formula>
      <formula>65</formula>
    </cfRule>
    <cfRule type="cellIs" dxfId="2034" priority="11" operator="greaterThan">
      <formula>65</formula>
    </cfRule>
  </conditionalFormatting>
  <conditionalFormatting sqref="L25:M36">
    <cfRule type="cellIs" dxfId="2033" priority="48" operator="lessThan">
      <formula>98</formula>
    </cfRule>
  </conditionalFormatting>
  <conditionalFormatting sqref="L40:N40">
    <cfRule type="cellIs" dxfId="2032" priority="72" operator="notEqual">
      <formula>#REF!</formula>
    </cfRule>
  </conditionalFormatting>
  <conditionalFormatting sqref="L71:N71">
    <cfRule type="cellIs" dxfId="2031" priority="29" stopIfTrue="1" operator="lessThan">
      <formula>100%</formula>
    </cfRule>
  </conditionalFormatting>
  <conditionalFormatting sqref="L73:N81">
    <cfRule type="cellIs" dxfId="2030" priority="139" stopIfTrue="1" operator="lessThan">
      <formula>100%</formula>
    </cfRule>
  </conditionalFormatting>
  <conditionalFormatting sqref="M10:M22">
    <cfRule type="expression" dxfId="2029" priority="6">
      <formula>IF(+(IF(M10&lt;V10,0,IF(M10&gt;W10,0,1)))=0,1)</formula>
    </cfRule>
  </conditionalFormatting>
  <conditionalFormatting sqref="M6:N6">
    <cfRule type="cellIs" dxfId="2028" priority="74" operator="greaterThanOrEqual">
      <formula>19</formula>
    </cfRule>
    <cfRule type="cellIs" dxfId="2027" priority="73" operator="greaterThanOrEqual">
      <formula>15</formula>
    </cfRule>
  </conditionalFormatting>
  <conditionalFormatting sqref="N10:N22">
    <cfRule type="expression" dxfId="2026" priority="7">
      <formula>IF(+(IF(N10&lt;X10,0,IF(N10&gt;Y10,0,1)))=0,1)</formula>
    </cfRule>
  </conditionalFormatting>
  <conditionalFormatting sqref="N22">
    <cfRule type="expression" dxfId="2025" priority="169">
      <formula>IF(+(IF(N22&lt;X64,0,IF(N22&gt;Y64,0,1)))=0,1)</formula>
    </cfRule>
    <cfRule type="expression" dxfId="2024" priority="170">
      <formula>IF(+(IF(N22&lt;X59,0,IF(N22&gt;Y59,0,1)))=0,1)</formula>
    </cfRule>
  </conditionalFormatting>
  <conditionalFormatting sqref="P6">
    <cfRule type="cellIs" dxfId="2023" priority="135" operator="greaterThanOrEqual">
      <formula>19</formula>
    </cfRule>
  </conditionalFormatting>
  <dataValidations count="1">
    <dataValidation type="list" allowBlank="1" showInputMessage="1" showErrorMessage="1" sqref="S8 B22" xr:uid="{016BD3B2-B151-4D15-9C11-CC7AC40FC15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2848-E973-4263-A062-A541F324C6CB}">
  <sheetPr>
    <pageSetUpPr fitToPage="1"/>
  </sheetPr>
  <dimension ref="A1:BF81"/>
  <sheetViews>
    <sheetView topLeftCell="A20" zoomScale="80" zoomScaleNormal="80" workbookViewId="0">
      <selection activeCell="M52" sqref="M52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45729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[23]Brewhouse!$A284</f>
        <v>CA181</v>
      </c>
      <c r="D10" s="279">
        <f>[23]Brewhouse!$AF284</f>
        <v>54.7</v>
      </c>
      <c r="E10" s="279">
        <f>[23]Brewhouse!$AI284</f>
        <v>48.6</v>
      </c>
      <c r="F10" s="278">
        <f>[23]Brewhouse!$V284</f>
        <v>61</v>
      </c>
      <c r="G10" s="279">
        <f>[23]Brewhouse!$AG284</f>
        <v>11.7</v>
      </c>
      <c r="H10" s="396">
        <v>11.7</v>
      </c>
      <c r="I10" s="368">
        <f>[23]Brewhouse!$AU284</f>
        <v>92.662463281061918</v>
      </c>
      <c r="J10" s="368">
        <f>[23]Brewhouse!$AV284</f>
        <v>94.19491510435617</v>
      </c>
      <c r="K10" s="281">
        <f>[23]Brewhouse!$Q284</f>
        <v>4.4601769911504361</v>
      </c>
      <c r="L10" s="276">
        <f>[23]Brewhouse!$P284</f>
        <v>57</v>
      </c>
      <c r="M10" s="397">
        <f>[23]Brewhouse!$U284-[23]Brewhouse!$T284</f>
        <v>0.10902777777777783</v>
      </c>
      <c r="N10" s="370">
        <f>[23]Brewhouse!$Z284</f>
        <v>0.27083333333333337</v>
      </c>
      <c r="O10" s="371" t="str">
        <f>[23]Brewhouse!$AX284</f>
        <v>R.Sookram</v>
      </c>
      <c r="P10" s="441"/>
      <c r="Q10" s="347"/>
      <c r="S10" s="277" t="str">
        <f t="shared" ref="S10:S12" si="0">B10</f>
        <v>CARIB</v>
      </c>
      <c r="T10" s="296">
        <f t="shared" ref="T10:T22" si="1">VLOOKUP($B10,$S$3:$Y$9,2,FALSE)</f>
        <v>11.6</v>
      </c>
      <c r="U10" s="296">
        <f t="shared" ref="U10:U22" si="2">VLOOKUP($B10,$S$3:$Y$9,3,FALSE)</f>
        <v>12</v>
      </c>
      <c r="V10" s="297">
        <f t="shared" ref="V10:V22" si="3">VLOOKUP($B10,$S$3:$Y$9,4,FALSE)</f>
        <v>0</v>
      </c>
      <c r="W10" s="297">
        <f t="shared" ref="W10:W22" si="4">VLOOKUP($B10,$S$3:$Y$9,5,FALSE)</f>
        <v>0.118055555555556</v>
      </c>
      <c r="X10" s="297">
        <f t="shared" ref="X10:X22" si="5">VLOOKUP($B10,$S$3:$Y$9,6,FALSE)</f>
        <v>0.22569444444444445</v>
      </c>
      <c r="Y10" s="297">
        <f t="shared" ref="Y10:Y22" si="6">VLOOKUP($B10,$S$3:$Y$9,7,FALSE)</f>
        <v>0.2638888888888889</v>
      </c>
      <c r="Z10" s="297">
        <f t="shared" ref="Z10:Z22" si="7">VLOOKUP($B10,$S$3:$AA$9,8,FALSE)</f>
        <v>0</v>
      </c>
      <c r="AA10" s="296">
        <f t="shared" ref="AA10:AA22" si="8">VLOOKUP($B10,$S$3:$AA$9,9,FALSE)</f>
        <v>60</v>
      </c>
    </row>
    <row r="11" spans="2:30" ht="15.75" customHeight="1">
      <c r="B11" s="29" t="s">
        <v>6</v>
      </c>
      <c r="C11" s="366" t="str">
        <f>[23]Brewhouse!$A285</f>
        <v>CA182</v>
      </c>
      <c r="D11" s="279">
        <f>[23]Brewhouse!$AF285</f>
        <v>55.2</v>
      </c>
      <c r="E11" s="279">
        <f>[23]Brewhouse!$AI285</f>
        <v>51.8</v>
      </c>
      <c r="F11" s="278">
        <f>[23]Brewhouse!$V285</f>
        <v>60</v>
      </c>
      <c r="G11" s="279">
        <f>[23]Brewhouse!$AG285</f>
        <v>11.5</v>
      </c>
      <c r="H11" s="367"/>
      <c r="I11" s="368">
        <f>[23]Brewhouse!$AU285</f>
        <v>97.346014307803912</v>
      </c>
      <c r="J11" s="368">
        <f>[23]Brewhouse!$AV285</f>
        <v>98.955661613076231</v>
      </c>
      <c r="K11" s="281">
        <f>[23]Brewhouse!$Q285</f>
        <v>4.2530755711774946</v>
      </c>
      <c r="L11" s="276">
        <f>[23]Brewhouse!$P285</f>
        <v>59</v>
      </c>
      <c r="M11" s="397">
        <f>[23]Brewhouse!$U285-[23]Brewhouse!$T285</f>
        <v>0.10416666666666674</v>
      </c>
      <c r="N11" s="370">
        <f>[23]Brewhouse!$Z285</f>
        <v>0.27222222222222225</v>
      </c>
      <c r="O11" s="371" t="str">
        <f>[23]Brewhouse!$AX285</f>
        <v>R.Sookram</v>
      </c>
      <c r="P11" s="441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[23]Brewhouse!$A286</f>
        <v>CA183</v>
      </c>
      <c r="D12" s="279">
        <f>[23]Brewhouse!$AF286</f>
        <v>54.4</v>
      </c>
      <c r="E12" s="279">
        <f>[23]Brewhouse!$AI286</f>
        <v>51.4</v>
      </c>
      <c r="F12" s="278">
        <f>[23]Brewhouse!$V286</f>
        <v>71</v>
      </c>
      <c r="G12" s="279">
        <f>[23]Brewhouse!$AG286</f>
        <v>11.8</v>
      </c>
      <c r="H12" s="367"/>
      <c r="I12" s="368">
        <f>[23]Brewhouse!$AU286</f>
        <v>98.678864505842682</v>
      </c>
      <c r="J12" s="368">
        <f>[23]Brewhouse!$AV286</f>
        <v>100.24377021214033</v>
      </c>
      <c r="K12" s="281">
        <f>[23]Brewhouse!$Q286</f>
        <v>0.22641509433961779</v>
      </c>
      <c r="L12" s="276">
        <f>[23]Brewhouse!$P286</f>
        <v>60</v>
      </c>
      <c r="M12" s="397">
        <f>[23]Brewhouse!$U286-[23]Brewhouse!$T286</f>
        <v>0.14861111111111125</v>
      </c>
      <c r="N12" s="370">
        <f>[23]Brewhouse!$Z286</f>
        <v>0.29305555555555562</v>
      </c>
      <c r="O12" s="371" t="str">
        <f>[23]Brewhouse!$AX286</f>
        <v>K.Benjamin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41"/>
      <c r="Q13" s="347"/>
      <c r="S13" s="277">
        <f t="shared" ref="S13:S22" si="9">B13</f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customHeight="1">
      <c r="B14" s="33" t="s">
        <v>9</v>
      </c>
      <c r="C14" s="366" t="str">
        <f>[24]Brewhouse!$A113</f>
        <v>ST097</v>
      </c>
      <c r="D14" s="279">
        <f>[24]Brewhouse!$AD113</f>
        <v>54.3</v>
      </c>
      <c r="E14" s="279">
        <f>[24]Brewhouse!$AG113</f>
        <v>49.7</v>
      </c>
      <c r="F14" s="278">
        <f>[24]Brewhouse!$V113</f>
        <v>54</v>
      </c>
      <c r="G14" s="279">
        <f>[24]Brewhouse!$AE113</f>
        <v>12</v>
      </c>
      <c r="H14" s="367"/>
      <c r="I14" s="416">
        <f>[24]Brewhouse!$AS113</f>
        <v>99.065888617269223</v>
      </c>
      <c r="J14" s="416">
        <f>[24]Brewhouse!$AT113</f>
        <v>100.42197589944648</v>
      </c>
      <c r="K14" s="398">
        <f>[24]Brewhouse!$Q113</f>
        <v>9.3639575971731386</v>
      </c>
      <c r="L14" s="276">
        <f>[24]Brewhouse!$P113</f>
        <v>62</v>
      </c>
      <c r="M14" s="374">
        <f>[24]Brewhouse!$U113-[24]Brewhouse!$T113</f>
        <v>0.11736111111111114</v>
      </c>
      <c r="N14" s="370">
        <f>[24]Brewhouse!$AW113</f>
        <v>0.2777777777777779</v>
      </c>
      <c r="O14" s="417" t="str">
        <f>[24]Brewhouse!$AV113</f>
        <v>K. Benjamin</v>
      </c>
      <c r="P14" s="441"/>
      <c r="Q14" s="347"/>
      <c r="S14" s="277" t="str">
        <f t="shared" si="9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33" t="s">
        <v>9</v>
      </c>
      <c r="C15" s="366" t="str">
        <f>[24]Brewhouse!$A114</f>
        <v>ST098</v>
      </c>
      <c r="D15" s="279">
        <f>[24]Brewhouse!$AD114</f>
        <v>54.4</v>
      </c>
      <c r="E15" s="279">
        <f>[24]Brewhouse!$AG114</f>
        <v>50.6</v>
      </c>
      <c r="F15" s="278">
        <f>[24]Brewhouse!$V114</f>
        <v>55</v>
      </c>
      <c r="G15" s="279">
        <f>[24]Brewhouse!$AE114</f>
        <v>11.86</v>
      </c>
      <c r="H15" s="396">
        <v>11.9</v>
      </c>
      <c r="I15" s="416">
        <f>[24]Brewhouse!$AS114</f>
        <v>99.602654863491452</v>
      </c>
      <c r="J15" s="416">
        <f>[24]Brewhouse!$AT114</f>
        <v>100.96741648747569</v>
      </c>
      <c r="K15" s="398">
        <f>[24]Brewhouse!$Q114</f>
        <v>3.5447761194029823</v>
      </c>
      <c r="L15" s="276">
        <f>[24]Brewhouse!$P114</f>
        <v>59</v>
      </c>
      <c r="M15" s="374">
        <f>[24]Brewhouse!$U114-[24]Brewhouse!$T114</f>
        <v>0.11041666666666672</v>
      </c>
      <c r="N15" s="370">
        <f>[24]Brewhouse!$AW114</f>
        <v>0.24930555555555556</v>
      </c>
      <c r="O15" s="417" t="str">
        <f>[24]Brewhouse!$AV114</f>
        <v>K. Benjamin</v>
      </c>
      <c r="P15" s="441"/>
      <c r="Q15" s="347"/>
      <c r="S15" s="277" t="str">
        <f t="shared" si="9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33" t="s">
        <v>9</v>
      </c>
      <c r="C16" s="366" t="str">
        <f>[24]Brewhouse!$A115</f>
        <v>ST099</v>
      </c>
      <c r="D16" s="279">
        <f>[24]Brewhouse!$AD115</f>
        <v>54.3</v>
      </c>
      <c r="E16" s="279">
        <f>[24]Brewhouse!$AG115</f>
        <v>50.7</v>
      </c>
      <c r="F16" s="278">
        <f>[24]Brewhouse!$V115</f>
        <v>58</v>
      </c>
      <c r="G16" s="279">
        <f>[24]Brewhouse!$AE115</f>
        <v>11.75</v>
      </c>
      <c r="H16" s="396">
        <v>11.7</v>
      </c>
      <c r="I16" s="416">
        <f>[24]Brewhouse!$AS115</f>
        <v>99.164950119073353</v>
      </c>
      <c r="J16" s="416">
        <f>[24]Brewhouse!$AT115</f>
        <v>100.52283481084572</v>
      </c>
      <c r="K16" s="398">
        <f>[24]Brewhouse!$Q115</f>
        <v>5.9566787003610058</v>
      </c>
      <c r="L16" s="276">
        <f>[24]Brewhouse!$P115</f>
        <v>60</v>
      </c>
      <c r="M16" s="374">
        <f>[24]Brewhouse!$U115-[24]Brewhouse!$T115</f>
        <v>0.10624999999999996</v>
      </c>
      <c r="N16" s="370">
        <f>[24]Brewhouse!$AW115</f>
        <v>0.2451388888888888</v>
      </c>
      <c r="O16" s="417" t="str">
        <f>[24]Brewhouse!$AV115</f>
        <v>R. Regis</v>
      </c>
      <c r="P16" s="441"/>
      <c r="Q16" s="347"/>
      <c r="S16" s="277" t="str">
        <f t="shared" si="9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33" t="s">
        <v>9</v>
      </c>
      <c r="C17" s="366" t="str">
        <f>[24]Brewhouse!$A116</f>
        <v>ST100</v>
      </c>
      <c r="D17" s="279">
        <f>[24]Brewhouse!$AD116</f>
        <v>53.7</v>
      </c>
      <c r="E17" s="279">
        <f>[24]Brewhouse!$AG116</f>
        <v>50.3</v>
      </c>
      <c r="F17" s="278">
        <f>[24]Brewhouse!$V116</f>
        <v>61</v>
      </c>
      <c r="G17" s="279">
        <f>[24]Brewhouse!$AE116</f>
        <v>11.71</v>
      </c>
      <c r="H17" s="396">
        <v>11.7</v>
      </c>
      <c r="I17" s="416">
        <f>[24]Brewhouse!$AS116</f>
        <v>97.38390073907243</v>
      </c>
      <c r="J17" s="416">
        <f>[24]Brewhouse!$AT116</f>
        <v>98.717829556683242</v>
      </c>
      <c r="K17" s="398">
        <f>[24]Brewhouse!$Q116</f>
        <v>6.4102564102564097</v>
      </c>
      <c r="L17" s="276">
        <f>[24]Brewhouse!$P116</f>
        <v>60</v>
      </c>
      <c r="M17" s="374">
        <f>[24]Brewhouse!$U116-[24]Brewhouse!$T116</f>
        <v>0.11249999999999982</v>
      </c>
      <c r="N17" s="370">
        <f>[24]Brewhouse!$AW116</f>
        <v>0.25486111111111109</v>
      </c>
      <c r="O17" s="417" t="str">
        <f>[24]Brewhouse!$AV116</f>
        <v>R. Regis</v>
      </c>
      <c r="P17" s="441"/>
      <c r="Q17" s="347"/>
      <c r="S17" s="277" t="str">
        <f t="shared" si="9"/>
        <v>STAG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369"/>
      <c r="Q19" s="347"/>
      <c r="S19" s="277">
        <f t="shared" si="9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4.4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369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481" t="s">
        <v>34</v>
      </c>
      <c r="J21" s="481"/>
      <c r="K21" s="481"/>
      <c r="L21" s="481"/>
      <c r="M21" s="481"/>
      <c r="N21" s="481"/>
      <c r="O21" s="1"/>
      <c r="P21" s="12"/>
      <c r="S21" s="277">
        <f t="shared" si="9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5" thickBot="1">
      <c r="B22" s="388" t="s">
        <v>145</v>
      </c>
      <c r="C22" s="388"/>
      <c r="D22" s="459" t="s">
        <v>35</v>
      </c>
      <c r="E22" s="460"/>
      <c r="F22" s="294"/>
      <c r="G22" s="294"/>
      <c r="H22" s="348"/>
      <c r="I22" s="24" t="s">
        <v>17</v>
      </c>
      <c r="J22" s="25" t="s">
        <v>36</v>
      </c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S22" s="277" t="str">
        <f t="shared" si="9"/>
        <v>BRAND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" customHeight="1">
      <c r="A23" s="28"/>
      <c r="B23" s="535" t="s">
        <v>6</v>
      </c>
      <c r="C23" s="362" cm="1">
        <f t="array" ref="C23:C26">[23]Process!$D$233:$D$236</f>
        <v>12</v>
      </c>
      <c r="D23" s="485">
        <v>11.89</v>
      </c>
      <c r="E23" s="486"/>
      <c r="F23" s="294"/>
      <c r="G23" s="294"/>
      <c r="H23" s="348"/>
      <c r="I23" s="29" t="s">
        <v>6</v>
      </c>
      <c r="J23" s="280">
        <f>AVERAGE(I10:I12)</f>
        <v>96.229114031569509</v>
      </c>
      <c r="K23" s="284">
        <f>COUNTA([23]Brewhouse!$A$255:$A$286)</f>
        <v>32</v>
      </c>
      <c r="L23" s="302">
        <f>AVERAGE([23]Brewhouse!$AU$255:$AU$286)</f>
        <v>99.29861790599827</v>
      </c>
      <c r="M23" s="302">
        <f>AVERAGE([23]Brewhouse!$AU$102:$AU$171,[23]Brewhouse!$AU$173:$AU$253,[23]Brewhouse!$AU$255:$AU$286)</f>
        <v>96.252576099559562</v>
      </c>
      <c r="N23" s="30">
        <v>98</v>
      </c>
      <c r="O23" s="11"/>
      <c r="P23" s="31"/>
      <c r="S23" s="277"/>
      <c r="T23" s="296"/>
      <c r="U23" s="296"/>
      <c r="V23" s="297"/>
      <c r="W23" s="297"/>
      <c r="X23" s="297"/>
      <c r="Y23" s="297"/>
      <c r="Z23" s="297"/>
      <c r="AA23" s="296"/>
    </row>
    <row r="24" spans="1:27" ht="15" customHeight="1">
      <c r="A24" s="28"/>
      <c r="B24" s="533"/>
      <c r="C24" s="349">
        <v>11.7</v>
      </c>
      <c r="D24" s="487"/>
      <c r="E24" s="488"/>
      <c r="F24" s="294"/>
      <c r="G24" s="294"/>
      <c r="H24" s="348"/>
      <c r="I24" s="33" t="s">
        <v>9</v>
      </c>
      <c r="J24" s="280">
        <f>AVERAGE(I14:I17)</f>
        <v>98.804348584726611</v>
      </c>
      <c r="K24" s="284">
        <f>COUNTA([24]Brewhouse!$A$105:$A$116)</f>
        <v>12</v>
      </c>
      <c r="L24" s="302">
        <f>AVERAGE([24]Brewhouse!$AS$105:$AS$116)</f>
        <v>97.970153775263569</v>
      </c>
      <c r="M24" s="302">
        <f>AVERAGE([24]Brewhouse!$AS$15:$AS$64,[24]Brewhouse!$AS$66:$AS$103,[24]Brewhouse!$AS$105:$AS$116)</f>
        <v>96.137768170023222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4.7" customHeight="1">
      <c r="A25" s="28"/>
      <c r="B25" s="533"/>
      <c r="C25" s="349">
        <v>11.9</v>
      </c>
      <c r="D25" s="485">
        <v>11.71</v>
      </c>
      <c r="E25" s="486"/>
      <c r="F25" s="294"/>
      <c r="G25" s="294"/>
      <c r="H25" s="348"/>
      <c r="I25" s="34" t="s">
        <v>12</v>
      </c>
      <c r="J25" s="280"/>
      <c r="K25" s="284">
        <f>COUNTA([25]Brewhouse!$A$24:$A$31)</f>
        <v>8</v>
      </c>
      <c r="L25" s="302">
        <f>AVERAGE([25]Brewhouse!$AU$24:$AU$31)</f>
        <v>98.193576760694924</v>
      </c>
      <c r="M25" s="302">
        <f>AVERAGE([25]Brewhouse!$AU$4:$AU$7,[25]Brewhouse!$AU$9:$AU$22,[25]Brewhouse!$AU$24:$AU$31)</f>
        <v>96.826546264179598</v>
      </c>
      <c r="N25" s="30">
        <v>98</v>
      </c>
      <c r="O25" s="11"/>
      <c r="P25" s="31"/>
      <c r="S25" s="23"/>
      <c r="T25" s="1"/>
      <c r="U25" s="1"/>
      <c r="AA25" s="285"/>
    </row>
    <row r="26" spans="1:27" ht="14.7" customHeight="1">
      <c r="A26" s="28"/>
      <c r="B26" s="533"/>
      <c r="C26" s="349">
        <v>11.7</v>
      </c>
      <c r="D26" s="487"/>
      <c r="E26" s="488"/>
      <c r="F26" s="294"/>
      <c r="G26" s="294"/>
      <c r="H26" s="348"/>
      <c r="I26" s="22" t="s">
        <v>33</v>
      </c>
      <c r="J26" s="280"/>
      <c r="K26" s="284"/>
      <c r="L26" s="302"/>
      <c r="M26" s="302">
        <f>AVERAGE([26]Brewhouse!$AV$5:$AV$14,[26]Brewhouse!$AV$16:$AV$19)</f>
        <v>98.230957815544443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33"/>
      <c r="C27" s="349" cm="1">
        <f t="array" ref="C27:C28">[23]Process!$D$239:$D$240</f>
        <v>11.8</v>
      </c>
      <c r="D27" s="485">
        <v>11.67</v>
      </c>
      <c r="E27" s="486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S27" s="23"/>
    </row>
    <row r="28" spans="1:27" ht="14.7" customHeight="1">
      <c r="A28" s="28"/>
      <c r="B28" s="533"/>
      <c r="C28" s="349">
        <v>11.69</v>
      </c>
      <c r="D28" s="487"/>
      <c r="E28" s="488"/>
      <c r="F28" s="294"/>
      <c r="G28" s="294"/>
      <c r="H28" s="348"/>
      <c r="I28" s="36" t="s">
        <v>15</v>
      </c>
      <c r="J28" s="323"/>
      <c r="K28" s="284"/>
      <c r="L28" s="302"/>
      <c r="M28" s="302">
        <f>AVERAGE([27]Brewhouse!$AT$4:$AT$11)</f>
        <v>94.812616598822359</v>
      </c>
      <c r="N28" s="30">
        <v>98</v>
      </c>
      <c r="O28" s="11"/>
      <c r="P28" s="31"/>
      <c r="S28" s="23"/>
    </row>
    <row r="29" spans="1:27" ht="14.7" customHeight="1">
      <c r="A29" s="28"/>
      <c r="B29" s="533"/>
      <c r="C29" s="349"/>
      <c r="D29" s="485"/>
      <c r="E29" s="486"/>
      <c r="F29" s="294"/>
      <c r="G29" s="294"/>
      <c r="H29" s="348"/>
      <c r="I29" s="37" t="s">
        <v>16</v>
      </c>
      <c r="J29" s="323"/>
      <c r="K29" s="284">
        <f>COUNTA([22]Brewhouse!$A$22:$A$29)</f>
        <v>8</v>
      </c>
      <c r="L29" s="302">
        <f>AVERAGE([22]Brewhouse!$AY$22:$AY$29)</f>
        <v>98.065834237903474</v>
      </c>
      <c r="M29" s="302">
        <f>AVERAGE([22]Brewhouse!$AY$6:$AY$13,[22]Brewhouse!$AY$15:$AY$20,[22]Brewhouse!$AY$22:$AY$29)</f>
        <v>95.660462473217876</v>
      </c>
      <c r="N29" s="30">
        <v>98</v>
      </c>
      <c r="O29" s="11"/>
      <c r="P29" s="31" t="s">
        <v>41</v>
      </c>
      <c r="S29" s="23"/>
      <c r="X29" s="275" t="s">
        <v>41</v>
      </c>
    </row>
    <row r="30" spans="1:27" ht="14.7" customHeight="1">
      <c r="A30" s="28"/>
      <c r="B30" s="533"/>
      <c r="C30" s="349"/>
      <c r="D30" s="487"/>
      <c r="E30" s="488"/>
      <c r="F30" s="294"/>
      <c r="G30" s="294"/>
      <c r="H30" s="348"/>
      <c r="I30" s="415" t="s">
        <v>158</v>
      </c>
      <c r="J30" s="326"/>
      <c r="K30" s="284"/>
      <c r="L30" s="305"/>
      <c r="M30" s="305">
        <f>AVERAGE([28]Brewhouse!$AU$5:$AU$8)</f>
        <v>91.006888337619571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/>
      <c r="D31" s="485"/>
      <c r="E31" s="486"/>
      <c r="F31" s="294"/>
      <c r="G31" s="294"/>
      <c r="H31" s="348"/>
      <c r="I31" s="414" t="s">
        <v>157</v>
      </c>
      <c r="J31" s="326"/>
      <c r="K31" s="284"/>
      <c r="L31" s="305"/>
      <c r="M31" s="305"/>
      <c r="N31" s="30">
        <v>98</v>
      </c>
      <c r="O31" s="11"/>
      <c r="P31" s="31"/>
      <c r="S31" s="23"/>
    </row>
    <row r="32" spans="1:27" ht="15" customHeight="1" thickBot="1">
      <c r="A32" s="28"/>
      <c r="B32" s="533"/>
      <c r="C32" s="349"/>
      <c r="D32" s="487"/>
      <c r="E32" s="488"/>
      <c r="F32" s="294"/>
      <c r="G32" s="294"/>
      <c r="H32" s="348"/>
      <c r="I32" s="410" t="s">
        <v>156</v>
      </c>
      <c r="J32" s="327"/>
      <c r="K32" s="411"/>
      <c r="L32" s="412"/>
      <c r="M32" s="412"/>
      <c r="N32" s="413">
        <v>98</v>
      </c>
      <c r="O32" s="11"/>
      <c r="P32" s="31"/>
      <c r="S32" s="23"/>
    </row>
    <row r="33" spans="1:57" ht="15" customHeight="1" thickBot="1">
      <c r="A33" s="28"/>
      <c r="B33" s="533"/>
      <c r="C33" s="349"/>
      <c r="D33" s="485"/>
      <c r="E33" s="486"/>
      <c r="F33" s="294"/>
      <c r="G33" s="294"/>
      <c r="H33" s="32"/>
      <c r="I33" s="1"/>
      <c r="J33" s="39"/>
      <c r="K33" s="408">
        <f>SUM(K23:K32)</f>
        <v>60</v>
      </c>
      <c r="L33" s="409">
        <f>((L23*K23)+(L24*K24)+(L25*K25)+(L26*K26)+(L27*K27)+(K30*L30)+(L28*K28)+(L29*K29)+(L32*K32))/(K33)</f>
        <v>98.72121510473157</v>
      </c>
      <c r="M33" s="409">
        <f>AVERAGE('[29]Jan 31st'!$L$65,'[30]Feb 28th'!$L$35,L33)</f>
        <v>96.721397177376858</v>
      </c>
      <c r="N33" s="40">
        <v>98</v>
      </c>
      <c r="O33" s="11"/>
      <c r="P33" s="31"/>
      <c r="S33" s="23"/>
    </row>
    <row r="34" spans="1:57" ht="15" thickBot="1">
      <c r="B34" s="534"/>
      <c r="C34" s="350"/>
      <c r="D34" s="487"/>
      <c r="E34" s="488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S34" s="23"/>
    </row>
    <row r="35" spans="1:57" ht="15" thickBot="1">
      <c r="B35" s="539"/>
      <c r="C35" s="362"/>
      <c r="D35" s="498"/>
      <c r="E35" s="499"/>
      <c r="F35" s="43"/>
      <c r="G35" s="41"/>
      <c r="H35" s="41"/>
      <c r="I35" s="42"/>
      <c r="J35" s="501" t="s">
        <v>129</v>
      </c>
      <c r="K35" s="501"/>
      <c r="L35" s="294"/>
      <c r="M35" s="294"/>
      <c r="N35" s="294"/>
      <c r="O35" s="294"/>
      <c r="P35" s="12"/>
      <c r="S35" s="23" t="s">
        <v>41</v>
      </c>
    </row>
    <row r="36" spans="1:57" ht="13.5" customHeight="1" thickBot="1">
      <c r="B36" s="540"/>
      <c r="C36" s="349"/>
      <c r="D36" s="500"/>
      <c r="E36" s="488"/>
      <c r="F36" s="43"/>
      <c r="G36" s="41"/>
      <c r="H36" s="41"/>
      <c r="I36" s="41"/>
      <c r="J36" s="418" t="s">
        <v>17</v>
      </c>
      <c r="K36" s="293" t="s">
        <v>147</v>
      </c>
      <c r="L36" s="502" t="s">
        <v>136</v>
      </c>
      <c r="M36" s="502"/>
      <c r="N36" s="503"/>
      <c r="O36" s="294"/>
      <c r="P36" s="12"/>
      <c r="S36" s="23"/>
    </row>
    <row r="37" spans="1:57" ht="15" customHeight="1" thickBot="1">
      <c r="B37" s="540"/>
      <c r="C37" s="349"/>
      <c r="D37" s="504"/>
      <c r="E37" s="486"/>
      <c r="F37" s="43"/>
      <c r="G37" s="41"/>
      <c r="H37" s="41"/>
      <c r="I37" s="41"/>
      <c r="J37" s="419" t="s">
        <v>6</v>
      </c>
      <c r="K37" s="324">
        <f>COUNTA(B10:B12)</f>
        <v>3</v>
      </c>
      <c r="L37" s="343" t="s">
        <v>37</v>
      </c>
      <c r="M37" s="307" t="s">
        <v>38</v>
      </c>
      <c r="N37" s="307" t="s">
        <v>84</v>
      </c>
      <c r="O37" s="294"/>
      <c r="P37" s="12"/>
      <c r="S37" s="23"/>
    </row>
    <row r="38" spans="1:57" ht="15.75" customHeight="1" thickBot="1">
      <c r="B38" s="540"/>
      <c r="C38" s="349"/>
      <c r="D38" s="500"/>
      <c r="E38" s="488"/>
      <c r="F38" s="43"/>
      <c r="G38" s="41"/>
      <c r="H38" s="41"/>
      <c r="I38" s="41"/>
      <c r="J38" s="420" t="s">
        <v>9</v>
      </c>
      <c r="K38" s="324">
        <f>COUNTA(B14:B17)</f>
        <v>4</v>
      </c>
      <c r="L38" s="344">
        <f>AVERAGE('Mar. 3rd'!K80,'Mar. 4th'!K81,'Mar. 5th '!K50,'Mar. 6th'!K50,'Mar. 7th &amp; 8th'!J52:K52,'Mar. 10th'!K49,'Mar. 11th'!K49,'Mar. 12th'!K47)</f>
        <v>6.666666666666667</v>
      </c>
      <c r="M38" s="325">
        <f>AVERAGE('[29]Jan 29th '!$M$70,'[30]Feb 28th'!$L$40,L38)</f>
        <v>6.725885225885226</v>
      </c>
      <c r="N38" s="400">
        <v>10</v>
      </c>
      <c r="O38" s="294"/>
      <c r="P38" s="12"/>
      <c r="S38" s="23"/>
    </row>
    <row r="39" spans="1:57" ht="15" customHeight="1">
      <c r="B39" s="540"/>
      <c r="C39" s="349"/>
      <c r="D39" s="504"/>
      <c r="E39" s="486"/>
      <c r="F39" s="43"/>
      <c r="G39" s="41"/>
      <c r="H39" s="41"/>
      <c r="I39" s="41"/>
      <c r="J39" s="421" t="s">
        <v>40</v>
      </c>
      <c r="K39" s="324"/>
      <c r="L39" s="294"/>
      <c r="M39" s="294"/>
      <c r="N39" s="294"/>
      <c r="O39" s="294"/>
      <c r="P39" s="12"/>
      <c r="S39" s="23"/>
    </row>
    <row r="40" spans="1:57" ht="15" customHeight="1">
      <c r="B40" s="540"/>
      <c r="C40" s="349"/>
      <c r="D40" s="500"/>
      <c r="E40" s="488"/>
      <c r="F40" s="43"/>
      <c r="G40" s="41"/>
      <c r="H40" s="41"/>
      <c r="I40" s="41"/>
      <c r="J40" s="422" t="s">
        <v>33</v>
      </c>
      <c r="K40" s="324"/>
      <c r="L40" s="294"/>
      <c r="M40" s="294"/>
      <c r="N40" s="294"/>
      <c r="O40" s="294"/>
      <c r="P40" s="12"/>
      <c r="S40" s="23"/>
    </row>
    <row r="41" spans="1:57" ht="14.4">
      <c r="B41" s="540"/>
      <c r="C41" s="349"/>
      <c r="D41" s="504"/>
      <c r="E41" s="486"/>
      <c r="F41" s="43"/>
      <c r="G41" s="41"/>
      <c r="H41" s="41"/>
      <c r="I41" s="41"/>
      <c r="J41" s="423" t="s">
        <v>16</v>
      </c>
      <c r="K41" s="324"/>
      <c r="L41" s="294"/>
      <c r="M41" s="294"/>
      <c r="N41" s="294"/>
      <c r="O41" s="294"/>
      <c r="P41" s="12"/>
      <c r="S41" s="23"/>
      <c r="BD41" s="44"/>
      <c r="BE41" s="44"/>
    </row>
    <row r="42" spans="1:57" ht="14.4">
      <c r="B42" s="540"/>
      <c r="C42" s="349"/>
      <c r="D42" s="500"/>
      <c r="E42" s="488"/>
      <c r="F42" s="43"/>
      <c r="G42" s="41"/>
      <c r="H42" s="41"/>
      <c r="I42" s="41"/>
      <c r="J42" s="424" t="s">
        <v>15</v>
      </c>
      <c r="K42" s="324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540"/>
      <c r="C43" s="349"/>
      <c r="D43" s="505"/>
      <c r="E43" s="490"/>
      <c r="F43" s="43"/>
      <c r="G43" s="41"/>
      <c r="H43" s="41"/>
      <c r="I43" s="41"/>
      <c r="J43" s="424" t="s">
        <v>149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5" thickBot="1">
      <c r="B44" s="541"/>
      <c r="C44" s="350"/>
      <c r="D44" s="506"/>
      <c r="E44" s="507"/>
      <c r="F44" s="43"/>
      <c r="G44" s="41"/>
      <c r="H44" s="41"/>
      <c r="I44" s="41"/>
      <c r="J44" s="424" t="s">
        <v>148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7.7" customHeight="1" thickBot="1">
      <c r="B45" s="312" t="s">
        <v>139</v>
      </c>
      <c r="C45" s="313"/>
      <c r="D45" s="508">
        <f>AVERAGE(D23:E44)</f>
        <v>11.756666666666668</v>
      </c>
      <c r="E45" s="509"/>
      <c r="F45" s="43"/>
      <c r="G45" s="41"/>
      <c r="H45" s="41"/>
      <c r="I45" s="41"/>
      <c r="J45" s="425" t="s">
        <v>134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>
      <c r="B46" s="363"/>
      <c r="C46" s="364"/>
      <c r="D46" s="365"/>
      <c r="E46" s="365"/>
      <c r="F46" s="43"/>
      <c r="G46" s="41"/>
      <c r="H46" s="41"/>
      <c r="I46" s="41"/>
      <c r="J46" s="425" t="s">
        <v>131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5.75" customHeight="1">
      <c r="B47" s="45"/>
      <c r="C47" s="11"/>
      <c r="D47" s="11"/>
      <c r="E47" s="46"/>
      <c r="F47" s="23"/>
      <c r="G47" s="11"/>
      <c r="H47" s="41"/>
      <c r="I47" s="41"/>
      <c r="J47" s="426" t="s">
        <v>130</v>
      </c>
      <c r="K47" s="324">
        <f>SUM(K37:K46)</f>
        <v>7</v>
      </c>
      <c r="L47" s="294"/>
      <c r="M47" s="294"/>
      <c r="N47" s="294"/>
      <c r="O47" s="294"/>
      <c r="P47" s="12"/>
    </row>
    <row r="48" spans="1:57" ht="20.25" customHeight="1">
      <c r="B48" s="15" t="s">
        <v>42</v>
      </c>
      <c r="C48" s="1" t="s">
        <v>43</v>
      </c>
      <c r="D48" s="1"/>
      <c r="E48" s="1"/>
      <c r="I48" s="42"/>
      <c r="L48" s="294"/>
      <c r="P48" s="334"/>
    </row>
    <row r="49" spans="2:58" ht="15" customHeight="1" thickBot="1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/>
      <c r="O49" s="48"/>
      <c r="P49" s="49"/>
      <c r="X49" s="275" t="s">
        <v>41</v>
      </c>
    </row>
    <row r="50" spans="2:58" ht="15" customHeight="1" thickBot="1">
      <c r="B50" s="510" t="s">
        <v>17</v>
      </c>
      <c r="C50" s="510" t="s">
        <v>44</v>
      </c>
      <c r="D50" s="512" t="s">
        <v>45</v>
      </c>
      <c r="E50" s="467" t="s">
        <v>46</v>
      </c>
      <c r="F50" s="527" t="s">
        <v>47</v>
      </c>
      <c r="G50" s="521" t="s">
        <v>48</v>
      </c>
      <c r="H50" s="510" t="s">
        <v>49</v>
      </c>
      <c r="I50" s="510" t="s">
        <v>50</v>
      </c>
      <c r="J50" s="515" t="s">
        <v>28</v>
      </c>
      <c r="K50" s="465" t="s">
        <v>51</v>
      </c>
      <c r="L50" s="477" t="s">
        <v>52</v>
      </c>
      <c r="M50" s="515" t="s">
        <v>53</v>
      </c>
      <c r="N50" s="77"/>
      <c r="O50" s="13"/>
      <c r="P50" s="50"/>
    </row>
    <row r="51" spans="2:58" ht="28.5" customHeight="1" thickTop="1" thickBot="1">
      <c r="B51" s="511"/>
      <c r="C51" s="511"/>
      <c r="D51" s="513"/>
      <c r="E51" s="514"/>
      <c r="F51" s="528"/>
      <c r="G51" s="522"/>
      <c r="H51" s="511"/>
      <c r="I51" s="511"/>
      <c r="J51" s="516"/>
      <c r="K51" s="525"/>
      <c r="L51" s="526"/>
      <c r="M51" s="516"/>
      <c r="N51" s="77"/>
      <c r="O51" s="13"/>
      <c r="P51" s="50"/>
      <c r="Q51" s="355"/>
      <c r="R51" s="355"/>
      <c r="S51" s="355"/>
      <c r="T51" s="355"/>
      <c r="U51" s="51">
        <v>43466</v>
      </c>
      <c r="V51" s="51">
        <v>43467</v>
      </c>
      <c r="W51" s="51">
        <v>43468</v>
      </c>
      <c r="X51" s="51">
        <v>43469</v>
      </c>
      <c r="Y51" s="51">
        <v>43470</v>
      </c>
      <c r="Z51" s="51">
        <v>43471</v>
      </c>
      <c r="AA51" s="51">
        <v>43472</v>
      </c>
      <c r="AB51" s="51">
        <v>43473</v>
      </c>
      <c r="AC51" s="51">
        <v>43474</v>
      </c>
      <c r="AD51" s="51">
        <v>43475</v>
      </c>
      <c r="AE51" s="51">
        <v>43476</v>
      </c>
      <c r="AF51" s="51">
        <v>43477</v>
      </c>
      <c r="AG51" s="51">
        <v>43478</v>
      </c>
      <c r="AH51" s="51">
        <v>43479</v>
      </c>
      <c r="AI51" s="51">
        <v>43480</v>
      </c>
      <c r="AJ51" s="51">
        <v>43481</v>
      </c>
      <c r="AK51" s="51">
        <v>43482</v>
      </c>
      <c r="AL51" s="51">
        <v>43483</v>
      </c>
      <c r="AM51" s="51">
        <v>43484</v>
      </c>
      <c r="AN51" s="51">
        <v>43485</v>
      </c>
      <c r="AO51" s="51">
        <v>43486</v>
      </c>
      <c r="AP51" s="51">
        <v>43487</v>
      </c>
      <c r="AQ51" s="51">
        <v>43488</v>
      </c>
      <c r="AR51" s="51">
        <v>43489</v>
      </c>
      <c r="AS51" s="51">
        <v>43490</v>
      </c>
      <c r="AT51" s="51">
        <v>43491</v>
      </c>
      <c r="AU51" s="51">
        <v>43492</v>
      </c>
      <c r="AV51" s="51">
        <v>43493</v>
      </c>
      <c r="AW51" s="51">
        <v>43494</v>
      </c>
      <c r="AX51" s="51">
        <v>43495</v>
      </c>
      <c r="AY51" s="51">
        <v>43496</v>
      </c>
    </row>
    <row r="52" spans="2:58" s="54" customFormat="1" ht="56.4" customHeight="1" thickBot="1">
      <c r="B52" s="430" t="str">
        <f>I23</f>
        <v>CARIB</v>
      </c>
      <c r="C52" s="283">
        <v>45728</v>
      </c>
      <c r="D52" s="377">
        <f>[31]March_2025!$O$3</f>
        <v>301.39999999999998</v>
      </c>
      <c r="E52" s="378"/>
      <c r="F52" s="379">
        <f>SUM([32]CARIB!$L$30:$L$33,[32]CARIB!$L$36:$L$37)</f>
        <v>296.49</v>
      </c>
      <c r="G52" s="303">
        <f>[31]March_2025!$O$7</f>
        <v>281</v>
      </c>
      <c r="H52" s="320">
        <f>(D52-F52)/D52*100</f>
        <v>1.629064366290633</v>
      </c>
      <c r="I52" s="322">
        <f>((F52+E52)-G52)/(F52+E52)*100</f>
        <v>5.2244595095956043</v>
      </c>
      <c r="J52" s="390" t="s">
        <v>168</v>
      </c>
      <c r="K52" s="433">
        <f>[33]March_2025!$O$18</f>
        <v>0.93666666666666665</v>
      </c>
      <c r="L52" s="314">
        <f>(((D52+E52)-G52)/(D52+E52))*100</f>
        <v>6.7684140676841338</v>
      </c>
      <c r="M52" s="357" t="s">
        <v>184</v>
      </c>
      <c r="N52" s="13"/>
      <c r="O52" s="13"/>
      <c r="P52" s="50"/>
      <c r="T52" s="272" t="s">
        <v>54</v>
      </c>
      <c r="U52" s="279"/>
      <c r="V52" s="279"/>
      <c r="W52" s="279"/>
      <c r="X52" s="279"/>
      <c r="Y52" s="279"/>
      <c r="Z52" s="279"/>
      <c r="AA52" s="279"/>
      <c r="AB52" s="279"/>
      <c r="AC52" s="279"/>
      <c r="AD52" s="279"/>
      <c r="AE52" s="279"/>
      <c r="AF52" s="279"/>
      <c r="AG52" s="279"/>
      <c r="AH52" s="279"/>
      <c r="AI52" s="279"/>
      <c r="AJ52" s="279"/>
      <c r="AK52" s="279"/>
      <c r="AL52" s="279"/>
      <c r="AM52" s="279"/>
      <c r="AN52" s="279"/>
      <c r="AO52" s="279"/>
      <c r="AP52" s="279"/>
      <c r="AQ52" s="279"/>
      <c r="AR52" s="279"/>
      <c r="AS52" s="279"/>
      <c r="AT52" s="279"/>
      <c r="AU52" s="279"/>
      <c r="AV52" s="279"/>
      <c r="AW52" s="279"/>
      <c r="AX52" s="279"/>
    </row>
    <row r="53" spans="2:58" s="54" customFormat="1" ht="18.75" customHeight="1" thickBot="1">
      <c r="B53" s="387"/>
      <c r="C53" s="283"/>
      <c r="D53" s="279"/>
      <c r="E53" s="279"/>
      <c r="F53" s="279"/>
      <c r="G53" s="279"/>
      <c r="H53" s="320"/>
      <c r="I53" s="322"/>
      <c r="J53" s="389"/>
      <c r="K53" s="434"/>
      <c r="L53" s="314"/>
      <c r="M53" s="384"/>
      <c r="N53" s="13"/>
      <c r="O53" s="13"/>
      <c r="P53" s="50"/>
      <c r="T53" s="272" t="s">
        <v>51</v>
      </c>
      <c r="U53" s="57" t="e">
        <f>[20]January_2019!D8</f>
        <v>#DIV/0!</v>
      </c>
      <c r="V53" s="57">
        <f>[20]January_2019!E8</f>
        <v>1.0319298245614037</v>
      </c>
      <c r="W53" s="57">
        <f>[20]January_2019!F8</f>
        <v>1.7789473684210526</v>
      </c>
      <c r="X53" s="57">
        <f>[20]January_2019!G8</f>
        <v>0.51929824561403504</v>
      </c>
      <c r="Y53" s="57" t="e">
        <f>[20]January_2019!H8</f>
        <v>#DIV/0!</v>
      </c>
      <c r="Z53" s="57" t="e">
        <f>[20]January_2019!I8</f>
        <v>#DIV/0!</v>
      </c>
      <c r="AA53" s="57">
        <f>[20]January_2019!J8</f>
        <v>1.365263157894737</v>
      </c>
      <c r="AB53" s="57" t="e">
        <f>[20]January_2019!K8</f>
        <v>#DIV/0!</v>
      </c>
      <c r="AC53" s="57">
        <f>[20]January_2019!L8</f>
        <v>1.0028070175438597</v>
      </c>
      <c r="AD53" s="57">
        <f>[20]January_2019!M8</f>
        <v>1.7828070175438597</v>
      </c>
      <c r="AE53" s="57" t="e">
        <f>[20]January_2019!N8</f>
        <v>#DIV/0!</v>
      </c>
      <c r="AF53" s="57" t="e">
        <f>[20]January_2019!O8</f>
        <v>#DIV/0!</v>
      </c>
      <c r="AG53" s="57">
        <f>[20]January_2019!P8</f>
        <v>0.19222222222222221</v>
      </c>
      <c r="AH53" s="57">
        <f>[20]January_2019!Q8</f>
        <v>0.52219298245614032</v>
      </c>
      <c r="AI53" s="57">
        <f>[20]January_2019!R8</f>
        <v>0.42912280701754385</v>
      </c>
      <c r="AJ53" s="57" t="e">
        <f>[20]January_2019!S8</f>
        <v>#DIV/0!</v>
      </c>
      <c r="AK53" s="57">
        <f>[20]January_2019!T8</f>
        <v>1.0340350877192983</v>
      </c>
      <c r="AL53" s="57">
        <f>[20]January_2019!U8</f>
        <v>0.98421052631578942</v>
      </c>
      <c r="AM53" s="57" t="e">
        <f>[20]January_2019!V8</f>
        <v>#DIV/0!</v>
      </c>
      <c r="AN53" s="57" t="e">
        <f>[20]January_2019!W8</f>
        <v>#DIV/0!</v>
      </c>
      <c r="AO53" s="57">
        <f>[20]January_2019!X8</f>
        <v>0.66052631578947374</v>
      </c>
      <c r="AP53" s="57">
        <f>[20]January_2019!Y8</f>
        <v>1.0375438596491227</v>
      </c>
      <c r="AQ53" s="57">
        <f>[20]January_2019!Z8</f>
        <v>0.90456140350877201</v>
      </c>
      <c r="AR53" s="57">
        <f>[20]January_2019!AA8</f>
        <v>1.0217543859649123</v>
      </c>
      <c r="AS53" s="57">
        <f>[20]January_2019!AB8</f>
        <v>0.65614035087719302</v>
      </c>
      <c r="AT53" s="57" t="e">
        <f>[20]January_2019!AC8</f>
        <v>#DIV/0!</v>
      </c>
      <c r="AU53" s="57" t="e">
        <f>[20]January_2019!AD8</f>
        <v>#DIV/0!</v>
      </c>
      <c r="AV53" s="57">
        <f>[20]January_2019!AE8</f>
        <v>1.7021052631578948</v>
      </c>
      <c r="AW53" s="57">
        <f>[20]January_2019!AF8</f>
        <v>0.60192982456140354</v>
      </c>
      <c r="AX53" s="57">
        <f>[20]January_2019!AG8</f>
        <v>1.4870175438596491</v>
      </c>
      <c r="AY53" s="277" t="e">
        <f>[20]January_2019!AH8</f>
        <v>#DIV/0!</v>
      </c>
      <c r="AZ53" s="277"/>
      <c r="BA53" s="277"/>
      <c r="BB53" s="277"/>
      <c r="BC53" s="277"/>
      <c r="BD53" s="277"/>
      <c r="BE53" s="277"/>
      <c r="BF53" s="277"/>
    </row>
    <row r="54" spans="2:58" s="54" customFormat="1" ht="14.4" hidden="1" thickBot="1">
      <c r="B54" s="361"/>
      <c r="C54" s="283"/>
      <c r="D54" s="304"/>
      <c r="E54" s="279"/>
      <c r="F54" s="279"/>
      <c r="G54" s="279"/>
      <c r="H54" s="381"/>
      <c r="I54" s="382"/>
      <c r="J54" s="432"/>
      <c r="K54" s="376"/>
      <c r="L54" s="314"/>
      <c r="M54" s="354"/>
      <c r="N54" s="13"/>
      <c r="O54" s="13"/>
      <c r="P54" s="50"/>
      <c r="T54" s="272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277"/>
      <c r="AZ54" s="277"/>
      <c r="BA54" s="277"/>
      <c r="BB54" s="277"/>
      <c r="BC54" s="277"/>
      <c r="BD54" s="277"/>
      <c r="BE54" s="277"/>
      <c r="BF54" s="277"/>
    </row>
    <row r="55" spans="2:58" s="54" customFormat="1" ht="45.75" hidden="1" customHeight="1" thickBot="1">
      <c r="B55" s="427"/>
      <c r="C55" s="283"/>
      <c r="D55" s="279"/>
      <c r="E55" s="279"/>
      <c r="F55" s="279"/>
      <c r="G55" s="279"/>
      <c r="H55" s="320"/>
      <c r="I55" s="322"/>
      <c r="J55" s="432"/>
      <c r="K55" s="286"/>
      <c r="L55" s="314"/>
      <c r="M55" s="384"/>
      <c r="N55" s="13"/>
      <c r="O55" s="13"/>
      <c r="P55" s="50"/>
      <c r="T55" s="272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277"/>
      <c r="AZ55" s="277"/>
      <c r="BA55" s="277"/>
      <c r="BB55" s="277"/>
      <c r="BC55" s="277"/>
      <c r="BD55" s="277"/>
      <c r="BE55" s="277"/>
      <c r="BF55" s="277"/>
    </row>
    <row r="56" spans="2:58" ht="11.4" hidden="1" customHeight="1" thickBot="1">
      <c r="B56" s="33"/>
      <c r="C56" s="310"/>
      <c r="D56" s="279"/>
      <c r="E56" s="279"/>
      <c r="F56" s="279"/>
      <c r="G56" s="279"/>
      <c r="H56" s="352"/>
      <c r="I56" s="353"/>
      <c r="J56" s="281"/>
      <c r="K56" s="52"/>
      <c r="L56" s="53"/>
      <c r="M56" s="55"/>
      <c r="N56" s="77"/>
      <c r="O56" s="13"/>
      <c r="P56" s="56"/>
    </row>
    <row r="57" spans="2:58" ht="14.4" thickBot="1">
      <c r="B57" s="58"/>
      <c r="C57" s="309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56"/>
      <c r="P57" s="60"/>
    </row>
    <row r="58" spans="2:58" ht="14.4" thickBot="1">
      <c r="B58" s="517" t="s">
        <v>55</v>
      </c>
      <c r="C58" s="518"/>
      <c r="D58" s="518"/>
      <c r="E58" s="518"/>
      <c r="F58" s="519"/>
      <c r="G58" s="517" t="s">
        <v>56</v>
      </c>
      <c r="H58" s="518"/>
      <c r="I58" s="518"/>
      <c r="J58" s="519"/>
      <c r="K58" s="517" t="s">
        <v>51</v>
      </c>
      <c r="L58" s="518"/>
      <c r="M58" s="518"/>
      <c r="N58" s="520"/>
      <c r="O58" s="56"/>
      <c r="P58" s="50"/>
    </row>
    <row r="59" spans="2:58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8">
      <c r="B60" s="29" t="s">
        <v>6</v>
      </c>
      <c r="C60" s="65">
        <f>L52</f>
        <v>6.7684140676841338</v>
      </c>
      <c r="D60" s="76">
        <v>7.9258463191832345</v>
      </c>
      <c r="E60" s="76">
        <v>7.1210354477612006</v>
      </c>
      <c r="F60" s="66">
        <v>4.8</v>
      </c>
      <c r="G60" s="65">
        <f>[31]March_2025!$O$11</f>
        <v>7.0706234224080085</v>
      </c>
      <c r="H60" s="76">
        <v>8.1660075768813929</v>
      </c>
      <c r="I60" s="76">
        <v>7.5442532053232148</v>
      </c>
      <c r="J60" s="66">
        <v>4.8</v>
      </c>
      <c r="K60" s="67">
        <f>K52</f>
        <v>0.93666666666666665</v>
      </c>
      <c r="L60" s="194">
        <v>0.76595454545454555</v>
      </c>
      <c r="M60" s="194">
        <v>0.82845855287054915</v>
      </c>
      <c r="N60" s="68">
        <v>1</v>
      </c>
      <c r="O60" s="56"/>
      <c r="P60" s="69"/>
    </row>
    <row r="61" spans="2:58">
      <c r="B61" s="33" t="s">
        <v>9</v>
      </c>
      <c r="C61" s="65"/>
      <c r="D61" s="76">
        <v>8.2188358730951876</v>
      </c>
      <c r="E61" s="76">
        <v>6.9433565151554548</v>
      </c>
      <c r="F61" s="66">
        <v>4.8</v>
      </c>
      <c r="G61" s="65"/>
      <c r="H61" s="76">
        <v>9.4293875706034758</v>
      </c>
      <c r="I61" s="76">
        <v>7.164300983056143</v>
      </c>
      <c r="J61" s="66">
        <v>4.8</v>
      </c>
      <c r="K61" s="67"/>
      <c r="L61" s="194">
        <v>0.68762500000000004</v>
      </c>
      <c r="M61" s="194">
        <v>0.7064697347564407</v>
      </c>
      <c r="N61" s="68">
        <v>1</v>
      </c>
      <c r="P61" s="69"/>
    </row>
    <row r="62" spans="2:58">
      <c r="B62" s="34" t="s">
        <v>40</v>
      </c>
      <c r="C62" s="65"/>
      <c r="D62" s="76">
        <v>7.5445173383317687</v>
      </c>
      <c r="E62" s="76">
        <v>12.682396771189062</v>
      </c>
      <c r="F62" s="66">
        <v>5.5</v>
      </c>
      <c r="G62" s="65"/>
      <c r="H62" s="76">
        <v>8.3720217865482667</v>
      </c>
      <c r="I62" s="76">
        <v>14.322773542755614</v>
      </c>
      <c r="J62" s="66">
        <v>5.5</v>
      </c>
      <c r="K62" s="67"/>
      <c r="L62" s="194">
        <v>0.98650000000000004</v>
      </c>
      <c r="M62" s="194">
        <v>0.56862100456621001</v>
      </c>
      <c r="N62" s="68">
        <v>1</v>
      </c>
      <c r="P62" s="69"/>
    </row>
    <row r="63" spans="2:58">
      <c r="B63" s="22" t="s">
        <v>33</v>
      </c>
      <c r="C63" s="65"/>
      <c r="D63" s="76"/>
      <c r="E63" s="76">
        <v>3.9190537266638161</v>
      </c>
      <c r="F63" s="66">
        <v>3.3</v>
      </c>
      <c r="G63" s="65"/>
      <c r="H63" s="76"/>
      <c r="I63" s="76">
        <v>5.345661717473071</v>
      </c>
      <c r="J63" s="66">
        <v>3.3</v>
      </c>
      <c r="K63" s="67"/>
      <c r="L63" s="194"/>
      <c r="M63" s="194">
        <v>0.78853801169590654</v>
      </c>
      <c r="N63" s="68">
        <v>1</v>
      </c>
      <c r="P63" s="69"/>
    </row>
    <row r="64" spans="2:58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8.7664670658682695</v>
      </c>
      <c r="F65" s="70">
        <f>[21]May_2022!$M$43</f>
        <v>3.4878406700073312</v>
      </c>
      <c r="G65" s="282"/>
      <c r="H65" s="76"/>
      <c r="I65" s="76">
        <v>10.607235567685406</v>
      </c>
      <c r="J65" s="66">
        <v>5.5</v>
      </c>
      <c r="K65" s="67"/>
      <c r="L65" s="194"/>
      <c r="M65" s="194">
        <v>0.66824561403508764</v>
      </c>
      <c r="N65" s="68">
        <v>1</v>
      </c>
      <c r="P65" s="69"/>
    </row>
    <row r="66" spans="2:16">
      <c r="B66" s="37" t="s">
        <v>16</v>
      </c>
      <c r="C66" s="65"/>
      <c r="D66" s="76">
        <v>3.0622243998040313</v>
      </c>
      <c r="E66" s="76">
        <v>2.5618217399039276</v>
      </c>
      <c r="F66" s="66">
        <v>3.3</v>
      </c>
      <c r="G66" s="282"/>
      <c r="H66" s="76">
        <v>4.90230047253743</v>
      </c>
      <c r="I66" s="76">
        <v>4.6996399261015078</v>
      </c>
      <c r="J66" s="66">
        <v>3.3</v>
      </c>
      <c r="K66" s="67"/>
      <c r="L66" s="194">
        <v>0.98924999999999996</v>
      </c>
      <c r="M66" s="194">
        <v>0.86251968503937015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37" t="s">
        <v>165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7.0142623334112697</v>
      </c>
      <c r="E69" s="76">
        <v>7.0773546817452573</v>
      </c>
      <c r="F69" s="341">
        <v>4.5</v>
      </c>
      <c r="H69" s="76">
        <v>7.585477938705468</v>
      </c>
      <c r="I69" s="76">
        <v>7.876789295528047</v>
      </c>
      <c r="J69" s="341">
        <v>4.5</v>
      </c>
      <c r="L69" s="194">
        <v>0.81457142857142861</v>
      </c>
      <c r="M69" s="194">
        <v>0.7590812211981568</v>
      </c>
      <c r="N69" s="386">
        <v>1</v>
      </c>
    </row>
    <row r="73" spans="2:16">
      <c r="F73" s="315"/>
    </row>
    <row r="81" spans="30:30">
      <c r="AD81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D45:E45"/>
    <mergeCell ref="B50:B51"/>
    <mergeCell ref="C50:C51"/>
    <mergeCell ref="D50:D51"/>
    <mergeCell ref="E50:E51"/>
    <mergeCell ref="M50:M51"/>
    <mergeCell ref="B58:F58"/>
    <mergeCell ref="G58:J58"/>
    <mergeCell ref="K58:N58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2022" priority="143" operator="notBetween">
      <formula>#REF!</formula>
      <formula>#REF!</formula>
    </cfRule>
  </conditionalFormatting>
  <conditionalFormatting sqref="C49">
    <cfRule type="cellIs" dxfId="2021" priority="174" stopIfTrue="1" operator="lessThan">
      <formula>96</formula>
    </cfRule>
    <cfRule type="cellIs" dxfId="2020" priority="175" stopIfTrue="1" operator="greaterThan">
      <formula>100</formula>
    </cfRule>
  </conditionalFormatting>
  <conditionalFormatting sqref="C60">
    <cfRule type="cellIs" dxfId="2019" priority="75" stopIfTrue="1" operator="greaterThan">
      <formula>$F60</formula>
    </cfRule>
  </conditionalFormatting>
  <conditionalFormatting sqref="C60:C61">
    <cfRule type="cellIs" dxfId="2018" priority="76" stopIfTrue="1" operator="lessThanOrEqual">
      <formula>0</formula>
    </cfRule>
  </conditionalFormatting>
  <conditionalFormatting sqref="C61">
    <cfRule type="cellIs" dxfId="2017" priority="178" stopIfTrue="1" operator="greaterThan">
      <formula>$F60</formula>
    </cfRule>
  </conditionalFormatting>
  <conditionalFormatting sqref="C62:C64">
    <cfRule type="cellIs" dxfId="2016" priority="102" stopIfTrue="1" operator="greaterThan">
      <formula>$F62</formula>
    </cfRule>
  </conditionalFormatting>
  <conditionalFormatting sqref="C62:C65">
    <cfRule type="cellIs" dxfId="2015" priority="122" stopIfTrue="1" operator="lessThanOrEqual">
      <formula>0</formula>
    </cfRule>
  </conditionalFormatting>
  <conditionalFormatting sqref="C65">
    <cfRule type="cellIs" dxfId="2014" priority="121" stopIfTrue="1" operator="greaterThan">
      <formula>$J65</formula>
    </cfRule>
  </conditionalFormatting>
  <conditionalFormatting sqref="C71:C75">
    <cfRule type="cellIs" dxfId="2013" priority="166" stopIfTrue="1" operator="lessThanOrEqual">
      <formula>0</formula>
    </cfRule>
  </conditionalFormatting>
  <conditionalFormatting sqref="C72:C75">
    <cfRule type="cellIs" dxfId="2012" priority="165" stopIfTrue="1" operator="greaterThan">
      <formula>$F$71</formula>
    </cfRule>
  </conditionalFormatting>
  <conditionalFormatting sqref="C77">
    <cfRule type="cellIs" dxfId="2011" priority="168" stopIfTrue="1" operator="lessThanOrEqual">
      <formula>0</formula>
    </cfRule>
    <cfRule type="cellIs" dxfId="2010" priority="167" stopIfTrue="1" operator="greaterThan">
      <formula>$F$71</formula>
    </cfRule>
  </conditionalFormatting>
  <conditionalFormatting sqref="C71:D71 D73:D79">
    <cfRule type="cellIs" dxfId="2009" priority="160" stopIfTrue="1" operator="greaterThan">
      <formula>4.5</formula>
    </cfRule>
  </conditionalFormatting>
  <conditionalFormatting sqref="D45:D46">
    <cfRule type="cellIs" dxfId="2008" priority="144" operator="notBetween">
      <formula>#REF!</formula>
      <formula>#REF!</formula>
    </cfRule>
  </conditionalFormatting>
  <conditionalFormatting sqref="D60:D67">
    <cfRule type="cellIs" dxfId="2007" priority="133" stopIfTrue="1" operator="lessThanOrEqual">
      <formula>0</formula>
    </cfRule>
  </conditionalFormatting>
  <conditionalFormatting sqref="D68">
    <cfRule type="cellIs" dxfId="2006" priority="132" stopIfTrue="1" operator="lessThanOrEqual">
      <formula>0</formula>
    </cfRule>
  </conditionalFormatting>
  <conditionalFormatting sqref="D71 D73:D79">
    <cfRule type="cellIs" dxfId="2005" priority="161" stopIfTrue="1" operator="lessThanOrEqual">
      <formula>0</formula>
    </cfRule>
  </conditionalFormatting>
  <conditionalFormatting sqref="D72">
    <cfRule type="cellIs" dxfId="2004" priority="153" stopIfTrue="1" operator="lessThanOrEqual">
      <formula>0</formula>
    </cfRule>
    <cfRule type="cellIs" dxfId="2003" priority="152" stopIfTrue="1" operator="greaterThan">
      <formula>$F$71</formula>
    </cfRule>
  </conditionalFormatting>
  <conditionalFormatting sqref="D60:E69">
    <cfRule type="cellIs" dxfId="2002" priority="46" stopIfTrue="1" operator="greaterThan">
      <formula>$F60</formula>
    </cfRule>
  </conditionalFormatting>
  <conditionalFormatting sqref="D69:E69">
    <cfRule type="cellIs" dxfId="2001" priority="47" stopIfTrue="1" operator="lessThanOrEqual">
      <formula>0</formula>
    </cfRule>
  </conditionalFormatting>
  <conditionalFormatting sqref="E10:E20">
    <cfRule type="cellIs" dxfId="2000" priority="37" operator="lessThan">
      <formula>48</formula>
    </cfRule>
  </conditionalFormatting>
  <conditionalFormatting sqref="E49">
    <cfRule type="cellIs" dxfId="1999" priority="155" stopIfTrue="1" operator="greaterThan">
      <formula>100</formula>
    </cfRule>
    <cfRule type="cellIs" dxfId="1998" priority="154" stopIfTrue="1" operator="lessThan">
      <formula>96.8</formula>
    </cfRule>
  </conditionalFormatting>
  <conditionalFormatting sqref="E60:E68">
    <cfRule type="cellIs" dxfId="1997" priority="126" stopIfTrue="1" operator="lessThanOrEqual">
      <formula>0</formula>
    </cfRule>
  </conditionalFormatting>
  <conditionalFormatting sqref="E71:E79">
    <cfRule type="cellIs" dxfId="1996" priority="147" stopIfTrue="1" operator="lessThanOrEqual">
      <formula>0</formula>
    </cfRule>
    <cfRule type="cellIs" dxfId="1995" priority="146" stopIfTrue="1" operator="greaterThan">
      <formula>4.5</formula>
    </cfRule>
  </conditionalFormatting>
  <conditionalFormatting sqref="E48:F49">
    <cfRule type="cellIs" dxfId="1994" priority="157" stopIfTrue="1" operator="greaterThan">
      <formula>100</formula>
    </cfRule>
    <cfRule type="cellIs" dxfId="1993" priority="156" stopIfTrue="1" operator="lessThan">
      <formula>96.5</formula>
    </cfRule>
  </conditionalFormatting>
  <conditionalFormatting sqref="F10:F19">
    <cfRule type="cellIs" dxfId="1992" priority="39" operator="greaterThan">
      <formula>60</formula>
    </cfRule>
  </conditionalFormatting>
  <conditionalFormatting sqref="F20">
    <cfRule type="cellIs" dxfId="1991" priority="182" operator="greaterThan">
      <formula>$AA57</formula>
    </cfRule>
    <cfRule type="cellIs" dxfId="1990" priority="181" operator="greaterThan">
      <formula>$AA20</formula>
    </cfRule>
  </conditionalFormatting>
  <conditionalFormatting sqref="F49">
    <cfRule type="cellIs" dxfId="1989" priority="172" stopIfTrue="1" operator="lessThan">
      <formula>96.8</formula>
    </cfRule>
    <cfRule type="cellIs" dxfId="1988" priority="173" stopIfTrue="1" operator="greaterThan">
      <formula>100</formula>
    </cfRule>
  </conditionalFormatting>
  <conditionalFormatting sqref="F69">
    <cfRule type="cellIs" dxfId="1987" priority="128" stopIfTrue="1" operator="lessThanOrEqual">
      <formula>0</formula>
    </cfRule>
    <cfRule type="cellIs" dxfId="1986" priority="127" stopIfTrue="1" operator="greaterThan">
      <formula>$F69</formula>
    </cfRule>
  </conditionalFormatting>
  <conditionalFormatting sqref="G60:G61 C66:C68">
    <cfRule type="cellIs" dxfId="1985" priority="135" stopIfTrue="1" operator="lessThanOrEqual">
      <formula>0</formula>
    </cfRule>
    <cfRule type="cellIs" dxfId="1984" priority="134" stopIfTrue="1" operator="greaterThan">
      <formula>$F60</formula>
    </cfRule>
  </conditionalFormatting>
  <conditionalFormatting sqref="G60:G61">
    <cfRule type="cellIs" dxfId="1983" priority="81" stopIfTrue="1" operator="greaterThan">
      <formula>$F60</formula>
    </cfRule>
    <cfRule type="cellIs" dxfId="1982" priority="82" stopIfTrue="1" operator="lessThanOrEqual">
      <formula>0</formula>
    </cfRule>
  </conditionalFormatting>
  <conditionalFormatting sqref="G62">
    <cfRule type="cellIs" dxfId="1981" priority="176" stopIfTrue="1" operator="greaterThan">
      <formula>$F61</formula>
    </cfRule>
    <cfRule type="cellIs" dxfId="1980" priority="177" stopIfTrue="1" operator="lessThanOrEqual">
      <formula>0</formula>
    </cfRule>
  </conditionalFormatting>
  <conditionalFormatting sqref="G63">
    <cfRule type="cellIs" dxfId="1979" priority="130" stopIfTrue="1" operator="lessThanOrEqual">
      <formula>0</formula>
    </cfRule>
    <cfRule type="cellIs" dxfId="1978" priority="129" stopIfTrue="1" operator="greaterThan">
      <formula>$F63</formula>
    </cfRule>
  </conditionalFormatting>
  <conditionalFormatting sqref="G64:G68">
    <cfRule type="cellIs" dxfId="1977" priority="137" stopIfTrue="1" operator="lessThanOrEqual">
      <formula>0</formula>
    </cfRule>
    <cfRule type="cellIs" dxfId="1976" priority="136" stopIfTrue="1" operator="greaterThan">
      <formula>$J64</formula>
    </cfRule>
  </conditionalFormatting>
  <conditionalFormatting sqref="G73:G78 C76 C78">
    <cfRule type="cellIs" dxfId="1975" priority="169" stopIfTrue="1" operator="greaterThan">
      <formula>4.5</formula>
    </cfRule>
    <cfRule type="cellIs" dxfId="1974" priority="170" stopIfTrue="1" operator="lessThanOrEqual">
      <formula>0</formula>
    </cfRule>
  </conditionalFormatting>
  <conditionalFormatting sqref="G10:H20">
    <cfRule type="expression" dxfId="1973" priority="15">
      <formula>IF(+(IF(G10&lt;#REF!,0,IF(G10&gt;#REF!,0,1)))=0,1)</formula>
    </cfRule>
  </conditionalFormatting>
  <conditionalFormatting sqref="G72:H72">
    <cfRule type="cellIs" dxfId="1972" priority="151" stopIfTrue="1" operator="lessThanOrEqual">
      <formula>0</formula>
    </cfRule>
    <cfRule type="cellIs" dxfId="1971" priority="150" stopIfTrue="1" operator="greaterThan">
      <formula>$F$71</formula>
    </cfRule>
  </conditionalFormatting>
  <conditionalFormatting sqref="H33:H47 G35:G46 I36:I47">
    <cfRule type="cellIs" dxfId="1970" priority="148" stopIfTrue="1" operator="greaterThan">
      <formula>0</formula>
    </cfRule>
  </conditionalFormatting>
  <conditionalFormatting sqref="H52">
    <cfRule type="cellIs" dxfId="1969" priority="14" stopIfTrue="1" operator="lessThanOrEqual">
      <formula>0</formula>
    </cfRule>
    <cfRule type="cellIs" dxfId="1968" priority="11" stopIfTrue="1" operator="greaterThan">
      <formula>$F$36</formula>
    </cfRule>
    <cfRule type="cellIs" dxfId="1967" priority="2" stopIfTrue="1" operator="lessThanOrEqual">
      <formula>0</formula>
    </cfRule>
    <cfRule type="cellIs" dxfId="1966" priority="3" stopIfTrue="1" operator="greaterThan">
      <formula>$F$33</formula>
    </cfRule>
    <cfRule type="cellIs" dxfId="1965" priority="12" stopIfTrue="1" operator="lessThanOrEqual">
      <formula>0</formula>
    </cfRule>
    <cfRule type="cellIs" dxfId="1964" priority="13" stopIfTrue="1" operator="greaterThan">
      <formula>$F$34</formula>
    </cfRule>
  </conditionalFormatting>
  <conditionalFormatting sqref="H53">
    <cfRule type="cellIs" dxfId="1963" priority="89" stopIfTrue="1" operator="lessThanOrEqual">
      <formula>0</formula>
    </cfRule>
    <cfRule type="cellIs" dxfId="1962" priority="90" stopIfTrue="1" operator="greaterThan">
      <formula>$F$59</formula>
    </cfRule>
    <cfRule type="cellIs" dxfId="1961" priority="98" stopIfTrue="1" operator="greaterThan">
      <formula>$F$62</formula>
    </cfRule>
    <cfRule type="cellIs" dxfId="1960" priority="99" stopIfTrue="1" operator="lessThanOrEqual">
      <formula>0</formula>
    </cfRule>
    <cfRule type="cellIs" dxfId="1959" priority="100" stopIfTrue="1" operator="greaterThan">
      <formula>$F$60</formula>
    </cfRule>
    <cfRule type="cellIs" dxfId="1958" priority="101" stopIfTrue="1" operator="lessThanOrEqual">
      <formula>0</formula>
    </cfRule>
  </conditionalFormatting>
  <conditionalFormatting sqref="H54">
    <cfRule type="cellIs" dxfId="1957" priority="74" stopIfTrue="1" operator="lessThanOrEqual">
      <formula>0</formula>
    </cfRule>
    <cfRule type="cellIs" dxfId="1956" priority="64" stopIfTrue="1" operator="lessThanOrEqual">
      <formula>0</formula>
    </cfRule>
    <cfRule type="cellIs" dxfId="1955" priority="65" stopIfTrue="1" operator="greaterThan">
      <formula>#REF!</formula>
    </cfRule>
    <cfRule type="cellIs" dxfId="1954" priority="73" stopIfTrue="1" operator="greaterThan">
      <formula>#REF!</formula>
    </cfRule>
  </conditionalFormatting>
  <conditionalFormatting sqref="H55">
    <cfRule type="cellIs" dxfId="1953" priority="107" stopIfTrue="1" operator="greaterThan">
      <formula>$F$60</formula>
    </cfRule>
    <cfRule type="cellIs" dxfId="1952" priority="118" stopIfTrue="1" operator="lessThanOrEqual">
      <formula>0</formula>
    </cfRule>
    <cfRule type="cellIs" dxfId="1951" priority="117" stopIfTrue="1" operator="greaterThan">
      <formula>$F$61</formula>
    </cfRule>
    <cfRule type="cellIs" dxfId="1950" priority="116" stopIfTrue="1" operator="lessThanOrEqual">
      <formula>0</formula>
    </cfRule>
    <cfRule type="cellIs" dxfId="1949" priority="115" stopIfTrue="1" operator="greaterThan">
      <formula>$F$63</formula>
    </cfRule>
    <cfRule type="cellIs" dxfId="1948" priority="84" stopIfTrue="1" operator="lessThanOrEqual">
      <formula>0</formula>
    </cfRule>
  </conditionalFormatting>
  <conditionalFormatting sqref="H56">
    <cfRule type="cellIs" dxfId="1947" priority="139" stopIfTrue="1" operator="greaterThan">
      <formula>$F$57</formula>
    </cfRule>
    <cfRule type="cellIs" dxfId="1946" priority="140" stopIfTrue="1" operator="lessThanOrEqual">
      <formula>0</formula>
    </cfRule>
    <cfRule type="cellIs" dxfId="1945" priority="141" stopIfTrue="1" operator="greaterThan">
      <formula>$F$54</formula>
    </cfRule>
    <cfRule type="cellIs" dxfId="1944" priority="142" stopIfTrue="1" operator="lessThanOrEqual">
      <formula>0</formula>
    </cfRule>
  </conditionalFormatting>
  <conditionalFormatting sqref="H60:H67">
    <cfRule type="cellIs" dxfId="1943" priority="120" stopIfTrue="1" operator="lessThanOrEqual">
      <formula>0</formula>
    </cfRule>
    <cfRule type="cellIs" dxfId="1942" priority="119" stopIfTrue="1" operator="greaterThan">
      <formula>$J60</formula>
    </cfRule>
  </conditionalFormatting>
  <conditionalFormatting sqref="H68">
    <cfRule type="cellIs" dxfId="1941" priority="123" operator="greaterThan">
      <formula>5.3</formula>
    </cfRule>
  </conditionalFormatting>
  <conditionalFormatting sqref="H71 H73:H79">
    <cfRule type="cellIs" dxfId="1940" priority="162" stopIfTrue="1" operator="greaterThan">
      <formula>4.5</formula>
    </cfRule>
    <cfRule type="cellIs" dxfId="1939" priority="163" stopIfTrue="1" operator="lessThanOrEqual">
      <formula>0</formula>
    </cfRule>
  </conditionalFormatting>
  <conditionalFormatting sqref="H52:I52">
    <cfRule type="cellIs" dxfId="1938" priority="1" stopIfTrue="1" operator="greaterThan">
      <formula>$F$35</formula>
    </cfRule>
    <cfRule type="cellIs" dxfId="1937" priority="4" stopIfTrue="1" operator="lessThanOrEqual">
      <formula>0</formula>
    </cfRule>
  </conditionalFormatting>
  <conditionalFormatting sqref="H53:I53">
    <cfRule type="cellIs" dxfId="1936" priority="91" stopIfTrue="1" operator="lessThanOrEqual">
      <formula>0</formula>
    </cfRule>
    <cfRule type="cellIs" dxfId="1935" priority="88" stopIfTrue="1" operator="greaterThan">
      <formula>$F$61</formula>
    </cfRule>
  </conditionalFormatting>
  <conditionalFormatting sqref="H54:I54">
    <cfRule type="cellIs" dxfId="1934" priority="69" stopIfTrue="1" operator="greaterThan">
      <formula>#REF!</formula>
    </cfRule>
    <cfRule type="cellIs" dxfId="1933" priority="66" stopIfTrue="1" operator="lessThanOrEqual">
      <formula>0</formula>
    </cfRule>
    <cfRule type="cellIs" dxfId="1932" priority="63" stopIfTrue="1" operator="greaterThan">
      <formula>#REF!</formula>
    </cfRule>
    <cfRule type="cellIs" dxfId="1931" priority="72" stopIfTrue="1" operator="lessThanOrEqual">
      <formula>0</formula>
    </cfRule>
  </conditionalFormatting>
  <conditionalFormatting sqref="H55:I55">
    <cfRule type="cellIs" dxfId="1930" priority="83" stopIfTrue="1" operator="greaterThan">
      <formula>$F$62</formula>
    </cfRule>
    <cfRule type="cellIs" dxfId="1929" priority="108" stopIfTrue="1" operator="lessThanOrEqual">
      <formula>0</formula>
    </cfRule>
  </conditionalFormatting>
  <conditionalFormatting sqref="H69:I69">
    <cfRule type="cellIs" dxfId="1928" priority="44" stopIfTrue="1" operator="greaterThan">
      <formula>$J69</formula>
    </cfRule>
    <cfRule type="cellIs" dxfId="1927" priority="45" stopIfTrue="1" operator="lessThanOrEqual">
      <formula>0</formula>
    </cfRule>
  </conditionalFormatting>
  <conditionalFormatting sqref="I20">
    <cfRule type="cellIs" dxfId="1926" priority="80" operator="lessThan">
      <formula>98</formula>
    </cfRule>
    <cfRule type="cellIs" dxfId="1925" priority="77" operator="lessThan">
      <formula>97.8</formula>
    </cfRule>
  </conditionalFormatting>
  <conditionalFormatting sqref="I52">
    <cfRule type="cellIs" dxfId="1924" priority="10" stopIfTrue="1" operator="lessThanOrEqual">
      <formula>0</formula>
    </cfRule>
    <cfRule type="cellIs" dxfId="1923" priority="7" stopIfTrue="1" operator="greaterThan">
      <formula>$F$35</formula>
    </cfRule>
    <cfRule type="cellIs" dxfId="1922" priority="8" stopIfTrue="1" operator="lessThanOrEqual">
      <formula>0</formula>
    </cfRule>
    <cfRule type="cellIs" dxfId="1921" priority="5" stopIfTrue="1" operator="greaterThan">
      <formula>$F$33</formula>
    </cfRule>
    <cfRule type="cellIs" dxfId="1920" priority="6" stopIfTrue="1" operator="lessThanOrEqual">
      <formula>0</formula>
    </cfRule>
    <cfRule type="cellIs" dxfId="1919" priority="9" stopIfTrue="1" operator="greaterThan">
      <formula>$F$33</formula>
    </cfRule>
  </conditionalFormatting>
  <conditionalFormatting sqref="I53">
    <cfRule type="cellIs" dxfId="1918" priority="97" stopIfTrue="1" operator="lessThanOrEqual">
      <formula>0</formula>
    </cfRule>
    <cfRule type="cellIs" dxfId="1917" priority="96" stopIfTrue="1" operator="greaterThan">
      <formula>$F$59</formula>
    </cfRule>
    <cfRule type="cellIs" dxfId="1916" priority="95" stopIfTrue="1" operator="lessThanOrEqual">
      <formula>0</formula>
    </cfRule>
    <cfRule type="cellIs" dxfId="1915" priority="94" stopIfTrue="1" operator="greaterThan">
      <formula>$F$61</formula>
    </cfRule>
    <cfRule type="cellIs" dxfId="1914" priority="93" stopIfTrue="1" operator="lessThanOrEqual">
      <formula>0</formula>
    </cfRule>
    <cfRule type="cellIs" dxfId="1913" priority="92" stopIfTrue="1" operator="greaterThan">
      <formula>$F$59</formula>
    </cfRule>
  </conditionalFormatting>
  <conditionalFormatting sqref="I54">
    <cfRule type="cellIs" dxfId="1912" priority="71" stopIfTrue="1" operator="greaterThan">
      <formula>#REF!</formula>
    </cfRule>
    <cfRule type="cellIs" dxfId="1911" priority="70" stopIfTrue="1" operator="lessThanOrEqual">
      <formula>0</formula>
    </cfRule>
    <cfRule type="cellIs" dxfId="1910" priority="67" stopIfTrue="1" operator="greaterThan">
      <formula>#REF!</formula>
    </cfRule>
    <cfRule type="cellIs" dxfId="1909" priority="68" stopIfTrue="1" operator="lessThanOrEqual">
      <formula>0</formula>
    </cfRule>
  </conditionalFormatting>
  <conditionalFormatting sqref="I55">
    <cfRule type="cellIs" dxfId="1908" priority="113" stopIfTrue="1" operator="greaterThan">
      <formula>$F$60</formula>
    </cfRule>
    <cfRule type="cellIs" dxfId="1907" priority="114" stopIfTrue="1" operator="lessThanOrEqual">
      <formula>0</formula>
    </cfRule>
    <cfRule type="cellIs" dxfId="1906" priority="112" stopIfTrue="1" operator="lessThanOrEqual">
      <formula>0</formula>
    </cfRule>
    <cfRule type="cellIs" dxfId="1905" priority="110" stopIfTrue="1" operator="lessThanOrEqual">
      <formula>0</formula>
    </cfRule>
    <cfRule type="cellIs" dxfId="1904" priority="111" stopIfTrue="1" operator="greaterThan">
      <formula>$F$62</formula>
    </cfRule>
    <cfRule type="cellIs" dxfId="1903" priority="109" stopIfTrue="1" operator="greaterThan">
      <formula>$F$60</formula>
    </cfRule>
  </conditionalFormatting>
  <conditionalFormatting sqref="I60:I68">
    <cfRule type="cellIs" dxfId="1902" priority="124" stopIfTrue="1" operator="greaterThan">
      <formula>$J60</formula>
    </cfRule>
    <cfRule type="cellIs" dxfId="1901" priority="125" stopIfTrue="1" operator="lessThanOrEqual">
      <formula>0</formula>
    </cfRule>
  </conditionalFormatting>
  <conditionalFormatting sqref="I71:I79">
    <cfRule type="cellIs" dxfId="1900" priority="159" stopIfTrue="1" operator="lessThanOrEqual">
      <formula>0</formula>
    </cfRule>
    <cfRule type="cellIs" dxfId="1899" priority="158" stopIfTrue="1" operator="greaterThan">
      <formula>4.5</formula>
    </cfRule>
  </conditionalFormatting>
  <conditionalFormatting sqref="I10:J19">
    <cfRule type="cellIs" dxfId="1898" priority="40" operator="lessThan">
      <formula>97.9</formula>
    </cfRule>
  </conditionalFormatting>
  <conditionalFormatting sqref="J20">
    <cfRule type="cellIs" dxfId="1897" priority="79" operator="lessThan">
      <formula>97.4</formula>
    </cfRule>
    <cfRule type="cellIs" dxfId="1896" priority="78" operator="notBetween">
      <formula>98</formula>
      <formula>99.9</formula>
    </cfRule>
  </conditionalFormatting>
  <conditionalFormatting sqref="J23:J25">
    <cfRule type="cellIs" dxfId="1895" priority="28" stopIfTrue="1" operator="greaterThan">
      <formula>100</formula>
    </cfRule>
    <cfRule type="cellIs" dxfId="1894" priority="27" stopIfTrue="1" operator="lessThan">
      <formula>96.8</formula>
    </cfRule>
    <cfRule type="cellIs" dxfId="1893" priority="29" operator="lessThan">
      <formula>98</formula>
    </cfRule>
  </conditionalFormatting>
  <conditionalFormatting sqref="J23:J27">
    <cfRule type="cellIs" dxfId="1892" priority="26" operator="lessThan">
      <formula>97.4</formula>
    </cfRule>
  </conditionalFormatting>
  <conditionalFormatting sqref="J28">
    <cfRule type="cellIs" dxfId="1891" priority="103" operator="lessThan">
      <formula>98</formula>
    </cfRule>
  </conditionalFormatting>
  <conditionalFormatting sqref="J29:J31">
    <cfRule type="cellIs" dxfId="1890" priority="104" stopIfTrue="1" operator="lessThan">
      <formula>96.8</formula>
    </cfRule>
    <cfRule type="cellIs" dxfId="1889" priority="105" stopIfTrue="1" operator="greaterThan">
      <formula>100</formula>
    </cfRule>
  </conditionalFormatting>
  <conditionalFormatting sqref="J29:J32">
    <cfRule type="cellIs" dxfId="1888" priority="106" operator="lessThan">
      <formula>98</formula>
    </cfRule>
  </conditionalFormatting>
  <conditionalFormatting sqref="J69">
    <cfRule type="cellIs" dxfId="1887" priority="41" stopIfTrue="1" operator="greaterThan">
      <formula>$F69</formula>
    </cfRule>
    <cfRule type="cellIs" dxfId="1886" priority="42" stopIfTrue="1" operator="lessThanOrEqual">
      <formula>0</formula>
    </cfRule>
  </conditionalFormatting>
  <conditionalFormatting sqref="K10:K20">
    <cfRule type="cellIs" dxfId="1885" priority="38" operator="greaterThan">
      <formula>6.4</formula>
    </cfRule>
    <cfRule type="cellIs" dxfId="1884" priority="34" operator="lessThan">
      <formula>4</formula>
    </cfRule>
    <cfRule type="cellIs" dxfId="1883" priority="33" operator="greaterThan">
      <formula>6</formula>
    </cfRule>
  </conditionalFormatting>
  <conditionalFormatting sqref="K37:K46">
    <cfRule type="cellIs" dxfId="1882" priority="131" operator="notEqual">
      <formula>#REF!</formula>
    </cfRule>
  </conditionalFormatting>
  <conditionalFormatting sqref="K52:K56 K60:N68">
    <cfRule type="cellIs" dxfId="1881" priority="138" stopIfTrue="1" operator="lessThan">
      <formula>100%</formula>
    </cfRule>
  </conditionalFormatting>
  <conditionalFormatting sqref="K71:K76">
    <cfRule type="cellIs" dxfId="1880" priority="164" stopIfTrue="1" operator="lessThan">
      <formula>100%</formula>
    </cfRule>
  </conditionalFormatting>
  <conditionalFormatting sqref="K78:K79">
    <cfRule type="cellIs" dxfId="1879" priority="171" stopIfTrue="1" operator="lessThan">
      <formula>100%</formula>
    </cfRule>
  </conditionalFormatting>
  <conditionalFormatting sqref="L10:L20">
    <cfRule type="cellIs" dxfId="1878" priority="36" operator="greaterThan">
      <formula>65</formula>
    </cfRule>
    <cfRule type="cellIs" dxfId="1877" priority="35" operator="between">
      <formula>61</formula>
      <formula>65</formula>
    </cfRule>
  </conditionalFormatting>
  <conditionalFormatting sqref="L23:M34">
    <cfRule type="cellIs" dxfId="1876" priority="62" operator="lessThan">
      <formula>98</formula>
    </cfRule>
  </conditionalFormatting>
  <conditionalFormatting sqref="L38:N38">
    <cfRule type="cellIs" dxfId="1875" priority="85" operator="notEqual">
      <formula>#REF!</formula>
    </cfRule>
  </conditionalFormatting>
  <conditionalFormatting sqref="L69:N69">
    <cfRule type="cellIs" dxfId="1874" priority="43" stopIfTrue="1" operator="lessThan">
      <formula>100%</formula>
    </cfRule>
  </conditionalFormatting>
  <conditionalFormatting sqref="L71:N79">
    <cfRule type="cellIs" dxfId="1873" priority="149" stopIfTrue="1" operator="lessThan">
      <formula>100%</formula>
    </cfRule>
  </conditionalFormatting>
  <conditionalFormatting sqref="M10:M20">
    <cfRule type="expression" dxfId="1872" priority="31">
      <formula>IF(+(IF(M10&lt;V10,0,IF(M10&gt;W10,0,1)))=0,1)</formula>
    </cfRule>
  </conditionalFormatting>
  <conditionalFormatting sqref="M6:N6">
    <cfRule type="cellIs" dxfId="1871" priority="86" operator="greaterThanOrEqual">
      <formula>15</formula>
    </cfRule>
    <cfRule type="cellIs" dxfId="1870" priority="87" operator="greaterThanOrEqual">
      <formula>19</formula>
    </cfRule>
  </conditionalFormatting>
  <conditionalFormatting sqref="N10:N20">
    <cfRule type="expression" dxfId="1869" priority="32">
      <formula>IF(+(IF(N10&lt;X10,0,IF(N10&gt;Y10,0,1)))=0,1)</formula>
    </cfRule>
  </conditionalFormatting>
  <conditionalFormatting sqref="N20">
    <cfRule type="expression" dxfId="1868" priority="179">
      <formula>IF(+(IF(N20&lt;X62,0,IF(N20&gt;Y62,0,1)))=0,1)</formula>
    </cfRule>
    <cfRule type="expression" dxfId="1867" priority="180">
      <formula>IF(+(IF(N20&lt;X57,0,IF(N20&gt;Y57,0,1)))=0,1)</formula>
    </cfRule>
  </conditionalFormatting>
  <conditionalFormatting sqref="P6">
    <cfRule type="cellIs" dxfId="1866" priority="145" operator="greaterThanOrEqual">
      <formula>19</formula>
    </cfRule>
  </conditionalFormatting>
  <dataValidations count="1">
    <dataValidation type="list" allowBlank="1" showInputMessage="1" showErrorMessage="1" sqref="S8 B20" xr:uid="{03230164-7E99-4514-AD11-C27BB720721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81C6-81E7-4527-A3DC-5D8D22F3B71A}">
  <sheetPr>
    <pageSetUpPr fitToPage="1"/>
  </sheetPr>
  <dimension ref="A1:BF83"/>
  <sheetViews>
    <sheetView topLeftCell="A8" zoomScale="80" zoomScaleNormal="80" workbookViewId="0">
      <selection activeCell="G15" sqref="G15:G19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45730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3" t="s">
        <v>9</v>
      </c>
      <c r="C10" s="366" t="str">
        <f>[24]Brewhouse!$A117</f>
        <v>ST101</v>
      </c>
      <c r="D10" s="279">
        <f>[24]Brewhouse!$AD117</f>
        <v>54.1</v>
      </c>
      <c r="E10" s="279">
        <f>[24]Brewhouse!$AG117</f>
        <v>50.7</v>
      </c>
      <c r="F10" s="278">
        <f>[24]Brewhouse!$V117</f>
        <v>61</v>
      </c>
      <c r="G10" s="279">
        <f>[24]Brewhouse!$AE117</f>
        <v>11.71</v>
      </c>
      <c r="H10" s="396">
        <v>11.7</v>
      </c>
      <c r="I10" s="416">
        <f>[24]Brewhouse!$AS117</f>
        <v>97.938471627804731</v>
      </c>
      <c r="J10" s="416">
        <f>[24]Brewhouse!$AT117</f>
        <v>99.255979936641211</v>
      </c>
      <c r="K10" s="398">
        <f>[24]Brewhouse!$Q117</f>
        <v>5.6776556776556806</v>
      </c>
      <c r="L10" s="276">
        <f>[24]Brewhouse!$P117</f>
        <v>59</v>
      </c>
      <c r="M10" s="374">
        <f>[24]Brewhouse!$U117-[24]Brewhouse!$T117</f>
        <v>0.11527777777777781</v>
      </c>
      <c r="N10" s="370">
        <f>[24]Brewhouse!$AW117</f>
        <v>0.25486111111111115</v>
      </c>
      <c r="O10" s="417" t="str">
        <f>[24]Brewhouse!$AV117</f>
        <v>R. Regis</v>
      </c>
      <c r="P10" s="441"/>
      <c r="Q10" s="347"/>
      <c r="S10" s="277" t="str">
        <f t="shared" ref="S10:S14" si="0">B10</f>
        <v>STAG</v>
      </c>
      <c r="T10" s="296">
        <f t="shared" ref="T10:T14" si="1">VLOOKUP($B10,$S$3:$Y$9,2,FALSE)</f>
        <v>11.6</v>
      </c>
      <c r="U10" s="296">
        <f t="shared" ref="U10:U14" si="2">VLOOKUP($B10,$S$3:$Y$9,3,FALSE)</f>
        <v>12</v>
      </c>
      <c r="V10" s="297">
        <f t="shared" ref="V10:V14" si="3">VLOOKUP($B10,$S$3:$Y$9,4,FALSE)</f>
        <v>0</v>
      </c>
      <c r="W10" s="297">
        <f t="shared" ref="W10:W14" si="4">VLOOKUP($B10,$S$3:$Y$9,5,FALSE)</f>
        <v>0.118055555555556</v>
      </c>
      <c r="X10" s="297">
        <f t="shared" ref="X10:X14" si="5">VLOOKUP($B10,$S$3:$Y$9,6,FALSE)</f>
        <v>0.22569444444444445</v>
      </c>
      <c r="Y10" s="297">
        <f t="shared" ref="Y10:Y14" si="6">VLOOKUP($B10,$S$3:$Y$9,7,FALSE)</f>
        <v>0.2638888888888889</v>
      </c>
      <c r="Z10" s="297">
        <f t="shared" ref="Z10:Z14" si="7">VLOOKUP($B10,$S$3:$AA$9,8,FALSE)</f>
        <v>0</v>
      </c>
      <c r="AA10" s="296">
        <f t="shared" ref="AA10:AA14" si="8">VLOOKUP($B10,$S$3:$AA$9,9,FALSE)</f>
        <v>60</v>
      </c>
    </row>
    <row r="11" spans="2:30" ht="15.75" customHeight="1">
      <c r="B11" s="33" t="s">
        <v>9</v>
      </c>
      <c r="C11" s="366" t="str">
        <f>[24]Brewhouse!$A118</f>
        <v>ST102</v>
      </c>
      <c r="D11" s="279">
        <f>[24]Brewhouse!$AD118</f>
        <v>55.8</v>
      </c>
      <c r="E11" s="279">
        <f>[24]Brewhouse!$AG118</f>
        <v>52.4</v>
      </c>
      <c r="F11" s="278">
        <f>[24]Brewhouse!$V118</f>
        <v>65</v>
      </c>
      <c r="G11" s="279">
        <f>[24]Brewhouse!$AE118</f>
        <v>11.77</v>
      </c>
      <c r="H11" s="396">
        <v>11.8</v>
      </c>
      <c r="I11" s="416">
        <f>[24]Brewhouse!$AS118</f>
        <v>102.00584482183068</v>
      </c>
      <c r="J11" s="416">
        <f>[24]Brewhouse!$AT118</f>
        <v>103.37851029784997</v>
      </c>
      <c r="K11" s="398">
        <f>[24]Brewhouse!$Q118</f>
        <v>4.3956043956043933</v>
      </c>
      <c r="L11" s="276">
        <f>[24]Brewhouse!$P118</f>
        <v>57</v>
      </c>
      <c r="M11" s="374">
        <f>[24]Brewhouse!$U118-[24]Brewhouse!$T118</f>
        <v>0.11041666666666672</v>
      </c>
      <c r="N11" s="370">
        <f>[24]Brewhouse!$AW118</f>
        <v>0.25347222222222227</v>
      </c>
      <c r="O11" s="417" t="str">
        <f>[24]Brewhouse!$AV118</f>
        <v>R.Sookram</v>
      </c>
      <c r="P11" s="441"/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33" t="s">
        <v>9</v>
      </c>
      <c r="C12" s="366" t="str">
        <f>[24]Brewhouse!$A119</f>
        <v>ST103</v>
      </c>
      <c r="D12" s="279">
        <f>[24]Brewhouse!$AD119</f>
        <v>55.1</v>
      </c>
      <c r="E12" s="279">
        <f>[24]Brewhouse!$AG119</f>
        <v>47.9</v>
      </c>
      <c r="F12" s="278">
        <f>[24]Brewhouse!$V119</f>
        <v>68</v>
      </c>
      <c r="G12" s="279">
        <f>[24]Brewhouse!$AE119</f>
        <v>11.8</v>
      </c>
      <c r="H12" s="396">
        <v>11.7</v>
      </c>
      <c r="I12" s="416">
        <f>[24]Brewhouse!$AS119</f>
        <v>93.711849834287406</v>
      </c>
      <c r="J12" s="416">
        <f>[24]Brewhouse!$AT119</f>
        <v>94.971277858767451</v>
      </c>
      <c r="K12" s="398">
        <f>[24]Brewhouse!$Q119</f>
        <v>3.6496350364963375</v>
      </c>
      <c r="L12" s="276">
        <f>[24]Brewhouse!$P119</f>
        <v>57</v>
      </c>
      <c r="M12" s="374">
        <f>[24]Brewhouse!$U119-[24]Brewhouse!$T119</f>
        <v>0.11319444444444443</v>
      </c>
      <c r="N12" s="370">
        <f>[24]Brewhouse!$AW119</f>
        <v>0.24999999999999994</v>
      </c>
      <c r="O12" s="417" t="str">
        <f>[24]Brewhouse!$AV119</f>
        <v>R.Sookram</v>
      </c>
      <c r="P12" s="441"/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33" t="s">
        <v>9</v>
      </c>
      <c r="C13" s="366" t="str">
        <f>[24]Brewhouse!$A120</f>
        <v>ST104</v>
      </c>
      <c r="D13" s="279">
        <f>[24]Brewhouse!$AD120</f>
        <v>55.6</v>
      </c>
      <c r="E13" s="279">
        <f>[24]Brewhouse!$AG120</f>
        <v>52.5</v>
      </c>
      <c r="F13" s="278">
        <f>[24]Brewhouse!$V120</f>
        <v>72</v>
      </c>
      <c r="G13" s="279">
        <f>[24]Brewhouse!$AE120</f>
        <v>12</v>
      </c>
      <c r="H13" s="367"/>
      <c r="I13" s="416">
        <f>[24]Brewhouse!$AS120</f>
        <v>104.41201107512165</v>
      </c>
      <c r="J13" s="416">
        <f>[24]Brewhouse!$AT120</f>
        <v>105.81569749073331</v>
      </c>
      <c r="K13" s="398">
        <f>[24]Brewhouse!$Q120</f>
        <v>3.1078610603290726</v>
      </c>
      <c r="L13" s="276">
        <f>[24]Brewhouse!$P120</f>
        <v>57</v>
      </c>
      <c r="M13" s="374">
        <f>[24]Brewhouse!$U120-[24]Brewhouse!$T120</f>
        <v>0.11527777777777781</v>
      </c>
      <c r="N13" s="370">
        <f>[24]Brewhouse!$AW120</f>
        <v>0.25208333333333333</v>
      </c>
      <c r="O13" s="417" t="str">
        <f>[24]Brewhouse!$AV120</f>
        <v>R.Sookram</v>
      </c>
      <c r="P13" s="441"/>
      <c r="Q13" s="347"/>
      <c r="S13" s="277" t="str">
        <f t="shared" si="0"/>
        <v>STAG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33"/>
      <c r="C14" s="366"/>
      <c r="D14" s="279"/>
      <c r="E14" s="279"/>
      <c r="F14" s="278"/>
      <c r="G14" s="279"/>
      <c r="H14" s="396"/>
      <c r="I14" s="416"/>
      <c r="J14" s="416"/>
      <c r="K14" s="398"/>
      <c r="L14" s="276"/>
      <c r="M14" s="374"/>
      <c r="N14" s="370"/>
      <c r="O14" s="417"/>
      <c r="P14" s="441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29" t="s">
        <v>6</v>
      </c>
      <c r="C15" s="366" t="str">
        <f>[23]Brewhouse!$A287</f>
        <v>CA184</v>
      </c>
      <c r="D15" s="279">
        <f>[23]Brewhouse!$AF287</f>
        <v>52.2</v>
      </c>
      <c r="E15" s="279">
        <f>[23]Brewhouse!$AI287</f>
        <v>48.6</v>
      </c>
      <c r="F15" s="278">
        <f>[23]Brewhouse!$V287</f>
        <v>59</v>
      </c>
      <c r="G15" s="279">
        <f>[23]Brewhouse!$AG287</f>
        <v>11.61</v>
      </c>
      <c r="H15" s="396">
        <v>11.6</v>
      </c>
      <c r="I15" s="368">
        <f>[23]Brewhouse!$AU287</f>
        <v>91.779024513115218</v>
      </c>
      <c r="J15" s="368">
        <f>[23]Brewhouse!$AV287</f>
        <v>93.207373855372751</v>
      </c>
      <c r="K15" s="281">
        <f>[23]Brewhouse!$Q287</f>
        <v>8.398576512455513</v>
      </c>
      <c r="L15" s="276">
        <f>[23]Brewhouse!$P287</f>
        <v>60</v>
      </c>
      <c r="M15" s="397">
        <f>[23]Brewhouse!$U287-[23]Brewhouse!$T287</f>
        <v>0.12430555555555567</v>
      </c>
      <c r="N15" s="370">
        <f>[23]Brewhouse!$Z287</f>
        <v>0.26597222222222228</v>
      </c>
      <c r="O15" s="371" t="str">
        <f>[23]Brewhouse!$AX287</f>
        <v>K.Benjamin</v>
      </c>
      <c r="P15" s="441"/>
      <c r="Q15" s="347"/>
      <c r="S15" s="277" t="str">
        <f t="shared" ref="S15" si="9">B15</f>
        <v>CARIB</v>
      </c>
      <c r="T15" s="296">
        <f t="shared" ref="T15:T24" si="10">VLOOKUP($B15,$S$3:$Y$9,2,FALSE)</f>
        <v>11.6</v>
      </c>
      <c r="U15" s="296">
        <f t="shared" ref="U15:U24" si="11">VLOOKUP($B15,$S$3:$Y$9,3,FALSE)</f>
        <v>12</v>
      </c>
      <c r="V15" s="297">
        <f t="shared" ref="V15:V24" si="12">VLOOKUP($B15,$S$3:$Y$9,4,FALSE)</f>
        <v>0</v>
      </c>
      <c r="W15" s="297">
        <f t="shared" ref="W15:W24" si="13">VLOOKUP($B15,$S$3:$Y$9,5,FALSE)</f>
        <v>0.118055555555556</v>
      </c>
      <c r="X15" s="297">
        <f t="shared" ref="X15:X24" si="14">VLOOKUP($B15,$S$3:$Y$9,6,FALSE)</f>
        <v>0.22569444444444445</v>
      </c>
      <c r="Y15" s="297">
        <f t="shared" ref="Y15:Y24" si="15">VLOOKUP($B15,$S$3:$Y$9,7,FALSE)</f>
        <v>0.2638888888888889</v>
      </c>
      <c r="Z15" s="297">
        <f t="shared" ref="Z15:Z24" si="16">VLOOKUP($B15,$S$3:$AA$9,8,FALSE)</f>
        <v>0</v>
      </c>
      <c r="AA15" s="296">
        <f t="shared" ref="AA15:AA24" si="17">VLOOKUP($B15,$S$3:$AA$9,9,FALSE)</f>
        <v>60</v>
      </c>
    </row>
    <row r="16" spans="2:30" ht="15.75" customHeight="1">
      <c r="B16" s="29" t="s">
        <v>6</v>
      </c>
      <c r="C16" s="366" t="str">
        <f>[23]Brewhouse!$A288</f>
        <v>CA185</v>
      </c>
      <c r="D16" s="279">
        <f>[23]Brewhouse!$AF288</f>
        <v>52.4</v>
      </c>
      <c r="E16" s="279">
        <f>[23]Brewhouse!$AI288</f>
        <v>48.8</v>
      </c>
      <c r="F16" s="278">
        <f>[23]Brewhouse!$V288</f>
        <v>61</v>
      </c>
      <c r="G16" s="279">
        <f>[23]Brewhouse!$AG288</f>
        <v>11.66</v>
      </c>
      <c r="H16" s="396">
        <v>11.8</v>
      </c>
      <c r="I16" s="368">
        <f>[23]Brewhouse!$AU288</f>
        <v>93.197398193182465</v>
      </c>
      <c r="J16" s="368">
        <f>[23]Brewhouse!$AV288</f>
        <v>94.556324836230189</v>
      </c>
      <c r="K16" s="281">
        <f>[23]Brewhouse!$Q288</f>
        <v>8.3818181818181809</v>
      </c>
      <c r="L16" s="276">
        <f>[23]Brewhouse!$P288</f>
        <v>59</v>
      </c>
      <c r="M16" s="397">
        <f>[23]Brewhouse!$U288-[23]Brewhouse!$T288</f>
        <v>0.11597222222222237</v>
      </c>
      <c r="N16" s="370">
        <f>[23]Brewhouse!$Z288</f>
        <v>0.26875000000000004</v>
      </c>
      <c r="O16" s="371" t="str">
        <f>[23]Brewhouse!$AX288</f>
        <v>K.Benjamin</v>
      </c>
      <c r="P16" s="441" t="s">
        <v>187</v>
      </c>
      <c r="Q16" s="347"/>
      <c r="S16" s="277" t="str">
        <f t="shared" ref="S16:S24" si="18">B16</f>
        <v>CARIB</v>
      </c>
      <c r="T16" s="296">
        <f t="shared" si="10"/>
        <v>11.6</v>
      </c>
      <c r="U16" s="296">
        <f t="shared" si="11"/>
        <v>12</v>
      </c>
      <c r="V16" s="297">
        <f t="shared" si="12"/>
        <v>0</v>
      </c>
      <c r="W16" s="297">
        <f t="shared" si="13"/>
        <v>0.118055555555556</v>
      </c>
      <c r="X16" s="297">
        <f t="shared" si="14"/>
        <v>0.22569444444444445</v>
      </c>
      <c r="Y16" s="297">
        <f t="shared" si="15"/>
        <v>0.2638888888888889</v>
      </c>
      <c r="Z16" s="297">
        <f t="shared" si="16"/>
        <v>0</v>
      </c>
      <c r="AA16" s="296">
        <f t="shared" si="17"/>
        <v>60</v>
      </c>
    </row>
    <row r="17" spans="1:27" ht="15.75" customHeight="1">
      <c r="B17" s="29" t="s">
        <v>6</v>
      </c>
      <c r="C17" s="366" t="str">
        <f>[23]Brewhouse!$A289</f>
        <v>CA186</v>
      </c>
      <c r="D17" s="279">
        <f>[23]Brewhouse!$AF289</f>
        <v>52.4</v>
      </c>
      <c r="E17" s="279">
        <f>[23]Brewhouse!$AI289</f>
        <v>48.6</v>
      </c>
      <c r="F17" s="278">
        <f>[23]Brewhouse!$V289</f>
        <v>59</v>
      </c>
      <c r="G17" s="279">
        <f>[23]Brewhouse!$AG289</f>
        <v>11.65</v>
      </c>
      <c r="H17" s="396">
        <v>11.9</v>
      </c>
      <c r="I17" s="368">
        <f>[23]Brewhouse!$AU289</f>
        <v>89.6398714567338</v>
      </c>
      <c r="J17" s="368">
        <f>[23]Brewhouse!$AV289</f>
        <v>91.0388949218855</v>
      </c>
      <c r="K17" s="281">
        <f>[23]Brewhouse!$Q289</f>
        <v>5.5616942909760523</v>
      </c>
      <c r="L17" s="276">
        <f>[23]Brewhouse!$P289</f>
        <v>61</v>
      </c>
      <c r="M17" s="397">
        <f>[23]Brewhouse!$U289-[23]Brewhouse!$T289</f>
        <v>0.10486111111111107</v>
      </c>
      <c r="N17" s="370">
        <f>[23]Brewhouse!$Z289</f>
        <v>0.24236111111111103</v>
      </c>
      <c r="O17" s="371" t="str">
        <f>[23]Brewhouse!$AX289</f>
        <v>K.Benjamin</v>
      </c>
      <c r="P17" s="441"/>
      <c r="Q17" s="347"/>
      <c r="S17" s="277" t="str">
        <f t="shared" ref="S17:S20" si="19">B17</f>
        <v>CARIB</v>
      </c>
      <c r="T17" s="296">
        <f t="shared" si="10"/>
        <v>11.6</v>
      </c>
      <c r="U17" s="296">
        <f t="shared" si="11"/>
        <v>12</v>
      </c>
      <c r="V17" s="297">
        <f t="shared" si="12"/>
        <v>0</v>
      </c>
      <c r="W17" s="297">
        <f t="shared" si="13"/>
        <v>0.118055555555556</v>
      </c>
      <c r="X17" s="297">
        <f t="shared" si="14"/>
        <v>0.22569444444444445</v>
      </c>
      <c r="Y17" s="297">
        <f t="shared" si="15"/>
        <v>0.2638888888888889</v>
      </c>
      <c r="Z17" s="297">
        <f t="shared" si="16"/>
        <v>0</v>
      </c>
      <c r="AA17" s="296">
        <f t="shared" si="17"/>
        <v>60</v>
      </c>
    </row>
    <row r="18" spans="1:27" ht="15.75" customHeight="1">
      <c r="B18" s="29" t="s">
        <v>6</v>
      </c>
      <c r="C18" s="366" t="str">
        <f>[23]Brewhouse!$A290</f>
        <v>CA187</v>
      </c>
      <c r="D18" s="279">
        <f>[23]Brewhouse!$AF290</f>
        <v>54.6</v>
      </c>
      <c r="E18" s="279">
        <f>[23]Brewhouse!$AI290</f>
        <v>51.2</v>
      </c>
      <c r="F18" s="278">
        <f>[23]Brewhouse!$V290</f>
        <v>65</v>
      </c>
      <c r="G18" s="279">
        <f>[23]Brewhouse!$AG290</f>
        <v>11.87</v>
      </c>
      <c r="H18" s="396">
        <v>11.9</v>
      </c>
      <c r="I18" s="368">
        <f>[23]Brewhouse!$AU290</f>
        <v>100.14422471363589</v>
      </c>
      <c r="J18" s="368">
        <f>[23]Brewhouse!$AV290</f>
        <v>101.76918083076833</v>
      </c>
      <c r="K18" s="281">
        <f>[23]Brewhouse!$Q290</f>
        <v>6.7253521126760445</v>
      </c>
      <c r="L18" s="276">
        <f>[23]Brewhouse!$P290</f>
        <v>61</v>
      </c>
      <c r="M18" s="397">
        <f>[23]Brewhouse!$U290-[23]Brewhouse!$T290</f>
        <v>0.11388888888888893</v>
      </c>
      <c r="N18" s="370">
        <f>[23]Brewhouse!$Z290</f>
        <v>0.25486111111111109</v>
      </c>
      <c r="O18" s="371" t="str">
        <f>[23]Brewhouse!$AX290</f>
        <v>R.Regis</v>
      </c>
      <c r="P18" s="441"/>
      <c r="Q18" s="347"/>
      <c r="S18" s="277" t="str">
        <f t="shared" si="19"/>
        <v>CARIB</v>
      </c>
      <c r="T18" s="296">
        <f t="shared" si="10"/>
        <v>11.6</v>
      </c>
      <c r="U18" s="296">
        <f t="shared" si="11"/>
        <v>12</v>
      </c>
      <c r="V18" s="297">
        <f t="shared" si="12"/>
        <v>0</v>
      </c>
      <c r="W18" s="297">
        <f t="shared" si="13"/>
        <v>0.118055555555556</v>
      </c>
      <c r="X18" s="297">
        <f t="shared" si="14"/>
        <v>0.22569444444444445</v>
      </c>
      <c r="Y18" s="297">
        <f t="shared" si="15"/>
        <v>0.2638888888888889</v>
      </c>
      <c r="Z18" s="297">
        <f t="shared" si="16"/>
        <v>0</v>
      </c>
      <c r="AA18" s="296">
        <f t="shared" si="17"/>
        <v>60</v>
      </c>
    </row>
    <row r="19" spans="1:27" ht="15.75" customHeight="1">
      <c r="B19" s="29" t="s">
        <v>6</v>
      </c>
      <c r="C19" s="366" t="str">
        <f>[23]Brewhouse!$A291</f>
        <v>CA188</v>
      </c>
      <c r="D19" s="279">
        <f>[23]Brewhouse!$AF291</f>
        <v>52.7</v>
      </c>
      <c r="E19" s="279">
        <f>[23]Brewhouse!$AI291</f>
        <v>50.2</v>
      </c>
      <c r="F19" s="278">
        <f>[23]Brewhouse!$V291</f>
        <v>58</v>
      </c>
      <c r="G19" s="279">
        <f>[23]Brewhouse!$AG291</f>
        <v>11.83</v>
      </c>
      <c r="H19" s="396"/>
      <c r="I19" s="368">
        <f>[23]Brewhouse!$AU291</f>
        <v>96.721958172382543</v>
      </c>
      <c r="J19" s="368">
        <f>[23]Brewhouse!$AV291</f>
        <v>98.291810485300957</v>
      </c>
      <c r="K19" s="281">
        <f>[23]Brewhouse!$Q291</f>
        <v>7.6731793960923502</v>
      </c>
      <c r="L19" s="276">
        <f>[23]Brewhouse!$P291</f>
        <v>61</v>
      </c>
      <c r="M19" s="397">
        <f>[23]Brewhouse!$U291-[23]Brewhouse!$T291</f>
        <v>0.10833333333333339</v>
      </c>
      <c r="N19" s="370">
        <f>[23]Brewhouse!$Z291</f>
        <v>0.25555555555555565</v>
      </c>
      <c r="O19" s="371" t="str">
        <f>[23]Brewhouse!$AX291</f>
        <v>R.Regis</v>
      </c>
      <c r="P19" s="441"/>
      <c r="Q19" s="347"/>
      <c r="S19" s="277" t="str">
        <f t="shared" si="19"/>
        <v>CARIB</v>
      </c>
      <c r="T19" s="296">
        <f t="shared" si="10"/>
        <v>11.6</v>
      </c>
      <c r="U19" s="296">
        <f t="shared" si="11"/>
        <v>12</v>
      </c>
      <c r="V19" s="297">
        <f t="shared" si="12"/>
        <v>0</v>
      </c>
      <c r="W19" s="297">
        <f t="shared" si="13"/>
        <v>0.118055555555556</v>
      </c>
      <c r="X19" s="297">
        <f t="shared" si="14"/>
        <v>0.22569444444444445</v>
      </c>
      <c r="Y19" s="297">
        <f t="shared" si="15"/>
        <v>0.2638888888888889</v>
      </c>
      <c r="Z19" s="297">
        <f t="shared" si="16"/>
        <v>0</v>
      </c>
      <c r="AA19" s="296">
        <f t="shared" si="17"/>
        <v>60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1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18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18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18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18"/>
        <v>BRAND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1:27" ht="15" customHeight="1">
      <c r="A25" s="28"/>
      <c r="B25" s="535" t="s">
        <v>6</v>
      </c>
      <c r="C25" s="362" cm="1">
        <f t="array" ref="C25:C26">[23]Process!$D$237:$D$238</f>
        <v>11.7</v>
      </c>
      <c r="D25" s="485">
        <v>11.62</v>
      </c>
      <c r="E25" s="486"/>
      <c r="F25" s="294"/>
      <c r="G25" s="294"/>
      <c r="H25" s="348"/>
      <c r="I25" s="29" t="s">
        <v>6</v>
      </c>
      <c r="J25" s="280">
        <f>AVERAGE(I15:I18)</f>
        <v>93.690129719166848</v>
      </c>
      <c r="K25" s="284">
        <f>COUNTA([23]Brewhouse!$A$255:$A$290)</f>
        <v>36</v>
      </c>
      <c r="L25" s="302">
        <f>AVERAGE([23]Brewhouse!$AU$255:$AU$290)</f>
        <v>98.675452551905892</v>
      </c>
      <c r="M25" s="302">
        <f>AVERAGE([23]Brewhouse!$AU$102:$AU$171,[23]Brewhouse!$AU$173:$AU$253,[23]Brewhouse!$AU$255:$AU$290)</f>
        <v>96.197764412278431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3"/>
      <c r="C26" s="349">
        <v>11.6</v>
      </c>
      <c r="D26" s="487"/>
      <c r="E26" s="488"/>
      <c r="F26" s="294"/>
      <c r="G26" s="294"/>
      <c r="H26" s="348"/>
      <c r="I26" s="33" t="s">
        <v>9</v>
      </c>
      <c r="J26" s="280">
        <f>AVERAGE(I10:I13)</f>
        <v>99.517044339761114</v>
      </c>
      <c r="K26" s="284">
        <f>COUNTA([24]Brewhouse!$A$105:$A$120)</f>
        <v>16</v>
      </c>
      <c r="L26" s="302">
        <f>AVERAGE([24]Brewhouse!$AS$105:$AS$120)</f>
        <v>98.356876416387962</v>
      </c>
      <c r="M26" s="302">
        <f>AVERAGE([24]Brewhouse!$AS$15:$AS$64,[24]Brewhouse!$AS$66:$AS$103,[24]Brewhouse!$AS$105:$AS$120)</f>
        <v>96.267740330397771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3"/>
      <c r="C27" s="349" cm="1">
        <f t="array" ref="C27:C28">[23]Process!$D$229:$D$230</f>
        <v>11.8</v>
      </c>
      <c r="D27" s="485">
        <v>11.73</v>
      </c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>
        <v>11.9</v>
      </c>
      <c r="D28" s="487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AVERAGE([26]Brewhouse!$AV$5:$AV$14,[26]Brewhouse!$AV$16:$AV$19)</f>
        <v>98.230957815544443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3"/>
      <c r="C29" s="349"/>
      <c r="D29" s="485"/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3"/>
      <c r="C30" s="349"/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/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3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3"/>
      <c r="C35" s="349"/>
      <c r="D35" s="485"/>
      <c r="E35" s="486"/>
      <c r="F35" s="294"/>
      <c r="G35" s="294"/>
      <c r="H35" s="32"/>
      <c r="I35" s="1"/>
      <c r="J35" s="39"/>
      <c r="K35" s="408">
        <f>SUM(K25:K34)</f>
        <v>68</v>
      </c>
      <c r="L35" s="409">
        <f>((L25*K25)+(L26*K26)+(L27*K27)+(L28*K28)+(L29*K29)+(K32*L32)+(L30*K30)+(L31*K31)+(L34*K34))/(K35)</f>
        <v>98.472082389994213</v>
      </c>
      <c r="M35" s="409">
        <f>AVERAGE('[29]Jan 31st'!$L$65,'[30]Feb 28th'!$L$35,L35)</f>
        <v>96.638352939131082</v>
      </c>
      <c r="N35" s="40">
        <v>98</v>
      </c>
      <c r="O35" s="11"/>
      <c r="P35" s="31"/>
      <c r="S35" s="23"/>
    </row>
    <row r="36" spans="1:57" ht="15" thickBot="1">
      <c r="B36" s="534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47" t="str">
        <f>I26</f>
        <v>STAG</v>
      </c>
      <c r="C37" s="362">
        <f>[24]Process!$D$82</f>
        <v>11.8</v>
      </c>
      <c r="D37" s="498">
        <v>11.79</v>
      </c>
      <c r="E37" s="499"/>
      <c r="F37" s="43"/>
      <c r="G37" s="41"/>
      <c r="H37" s="41"/>
      <c r="I37" s="42"/>
      <c r="J37" s="501" t="s">
        <v>129</v>
      </c>
      <c r="K37" s="501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483"/>
      <c r="C38" s="349">
        <f>[24]Process!$D$91</f>
        <v>12</v>
      </c>
      <c r="D38" s="500"/>
      <c r="E38" s="488"/>
      <c r="F38" s="43"/>
      <c r="G38" s="41"/>
      <c r="H38" s="41"/>
      <c r="I38" s="41"/>
      <c r="J38" s="418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483"/>
      <c r="C39" s="349"/>
      <c r="D39" s="504"/>
      <c r="E39" s="486"/>
      <c r="F39" s="43"/>
      <c r="G39" s="41"/>
      <c r="H39" s="41"/>
      <c r="I39" s="41"/>
      <c r="J39" s="419" t="s">
        <v>6</v>
      </c>
      <c r="K39" s="324">
        <f>COUNTA(B15:B19)</f>
        <v>5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483"/>
      <c r="C40" s="349"/>
      <c r="D40" s="500"/>
      <c r="E40" s="488"/>
      <c r="F40" s="43"/>
      <c r="G40" s="41"/>
      <c r="H40" s="41"/>
      <c r="I40" s="41"/>
      <c r="J40" s="420" t="s">
        <v>9</v>
      </c>
      <c r="K40" s="324">
        <f>COUNTA(B10:B13)</f>
        <v>4</v>
      </c>
      <c r="L40" s="344">
        <f>AVERAGE('Mar. 3rd'!K80,'Mar. 4th'!K81,'Mar. 5th '!K50,'Mar. 6th'!K50,'Mar. 7th &amp; 8th'!J52:K52,'Mar. 10th'!K49,'Mar. 11th'!K49,'Mar. 12th'!K47,'Mar. 13th'!K49)</f>
        <v>6.9</v>
      </c>
      <c r="M40" s="325">
        <f>AVERAGE('[29]Jan 29th '!$M$70,'[30]Feb 28th'!$L$40,L40)</f>
        <v>6.8036630036630044</v>
      </c>
      <c r="N40" s="400">
        <v>10</v>
      </c>
      <c r="O40" s="294"/>
      <c r="P40" s="12"/>
      <c r="S40" s="23"/>
    </row>
    <row r="41" spans="1:57" ht="15" customHeight="1">
      <c r="B41" s="483"/>
      <c r="C41" s="349"/>
      <c r="D41" s="504"/>
      <c r="E41" s="486"/>
      <c r="F41" s="43"/>
      <c r="G41" s="41"/>
      <c r="H41" s="41"/>
      <c r="I41" s="41"/>
      <c r="J41" s="421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483"/>
      <c r="C42" s="349"/>
      <c r="D42" s="500"/>
      <c r="E42" s="488"/>
      <c r="F42" s="43"/>
      <c r="G42" s="41"/>
      <c r="H42" s="41"/>
      <c r="I42" s="41"/>
      <c r="J42" s="422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483"/>
      <c r="C43" s="349"/>
      <c r="D43" s="504"/>
      <c r="E43" s="486"/>
      <c r="F43" s="43"/>
      <c r="G43" s="41"/>
      <c r="H43" s="41"/>
      <c r="I43" s="41"/>
      <c r="J43" s="423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483"/>
      <c r="C44" s="349"/>
      <c r="D44" s="500"/>
      <c r="E44" s="488"/>
      <c r="F44" s="43"/>
      <c r="G44" s="41"/>
      <c r="H44" s="41"/>
      <c r="I44" s="41"/>
      <c r="J44" s="424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483"/>
      <c r="C45" s="349"/>
      <c r="D45" s="505"/>
      <c r="E45" s="490"/>
      <c r="F45" s="43"/>
      <c r="G45" s="41"/>
      <c r="H45" s="41"/>
      <c r="I45" s="41"/>
      <c r="J45" s="424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484"/>
      <c r="C46" s="350"/>
      <c r="D46" s="506"/>
      <c r="E46" s="507"/>
      <c r="F46" s="43"/>
      <c r="G46" s="41"/>
      <c r="H46" s="41"/>
      <c r="I46" s="41"/>
      <c r="J46" s="424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11.713333333333333</v>
      </c>
      <c r="E47" s="509"/>
      <c r="F47" s="43"/>
      <c r="G47" s="41"/>
      <c r="H47" s="41"/>
      <c r="I47" s="41"/>
      <c r="J47" s="42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1"/>
      <c r="J48" s="42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1"/>
      <c r="J49" s="426" t="s">
        <v>130</v>
      </c>
      <c r="K49" s="324">
        <f>SUM(K39:K48)</f>
        <v>9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6.4" customHeight="1" thickBot="1">
      <c r="B54" s="430" t="str">
        <f>I25</f>
        <v>CARIB</v>
      </c>
      <c r="C54" s="283">
        <v>45729</v>
      </c>
      <c r="D54" s="377">
        <f>[31]March_2025!$P$3</f>
        <v>202.29999999999998</v>
      </c>
      <c r="E54" s="378"/>
      <c r="F54" s="379">
        <f>SUM([32]CARIB!$L$34:$L$35,[32]CARIB!$L$26:$L$27)</f>
        <v>209.9</v>
      </c>
      <c r="G54" s="303">
        <f>[31]March_2025!$P$7</f>
        <v>192.6</v>
      </c>
      <c r="H54" s="320">
        <f>(D54-F54)/D54*100</f>
        <v>-3.7567968363816227</v>
      </c>
      <c r="I54" s="322">
        <f>((F54+E54)-G54)/(F54+E54)*100</f>
        <v>8.2420200095283516</v>
      </c>
      <c r="J54" s="390" t="s">
        <v>182</v>
      </c>
      <c r="K54" s="433">
        <f>[33]March_2025!$P$18</f>
        <v>0.50526315789473686</v>
      </c>
      <c r="L54" s="314">
        <f>(((D54+E54)-G54)/(D54+E54))*100</f>
        <v>4.7948591201186304</v>
      </c>
      <c r="M54" s="357" t="s">
        <v>184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8.75" hidden="1" customHeight="1">
      <c r="B55" s="387"/>
      <c r="C55" s="283"/>
      <c r="D55" s="279"/>
      <c r="E55" s="279"/>
      <c r="F55" s="279"/>
      <c r="G55" s="279"/>
      <c r="H55" s="320"/>
      <c r="I55" s="322"/>
      <c r="J55" s="389"/>
      <c r="K55" s="434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s="54" customFormat="1" ht="14.4" thickBot="1">
      <c r="B56" s="361"/>
      <c r="C56" s="283"/>
      <c r="D56" s="304"/>
      <c r="E56" s="279"/>
      <c r="F56" s="279"/>
      <c r="G56" s="279"/>
      <c r="H56" s="381"/>
      <c r="I56" s="382"/>
      <c r="J56" s="389"/>
      <c r="K56" s="376"/>
      <c r="L56" s="314"/>
      <c r="M56" s="354"/>
      <c r="N56" s="13"/>
      <c r="O56" s="13"/>
      <c r="P56" s="50"/>
      <c r="T56" s="272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277"/>
      <c r="AZ56" s="277"/>
      <c r="BA56" s="277"/>
      <c r="BB56" s="277"/>
      <c r="BC56" s="277"/>
      <c r="BD56" s="277"/>
      <c r="BE56" s="277"/>
      <c r="BF56" s="277"/>
    </row>
    <row r="57" spans="2:58" s="54" customFormat="1" ht="45.75" customHeight="1" thickBot="1">
      <c r="B57" s="443" t="str">
        <f>I26</f>
        <v>STAG</v>
      </c>
      <c r="C57" s="283">
        <v>45729</v>
      </c>
      <c r="D57" s="279">
        <f>[31]March_2025!$P$13</f>
        <v>109.19999999999999</v>
      </c>
      <c r="E57" s="279"/>
      <c r="F57" s="279">
        <f>SUM([32]STAG!$L$6)</f>
        <v>101.2</v>
      </c>
      <c r="G57" s="279">
        <f>[31]March_2025!$P$17</f>
        <v>95.4</v>
      </c>
      <c r="H57" s="320">
        <f>(D57-F57)/D57*100</f>
        <v>7.3260073260073142</v>
      </c>
      <c r="I57" s="322">
        <f>((F57+E57)-G57)/(F57+E57)*100</f>
        <v>5.7312252964426849</v>
      </c>
      <c r="J57" s="390" t="s">
        <v>182</v>
      </c>
      <c r="K57" s="286">
        <f>[33]March_2025!$P$25</f>
        <v>0.50526315789473675</v>
      </c>
      <c r="L57" s="314">
        <f>(((D57+E57)-G57)/(D57+E57))*100</f>
        <v>12.637362637362623</v>
      </c>
      <c r="M57" s="357" t="s">
        <v>184</v>
      </c>
      <c r="N57" s="13"/>
      <c r="O57" s="13"/>
      <c r="P57" s="50"/>
      <c r="T57" s="272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277"/>
      <c r="AZ57" s="277"/>
      <c r="BA57" s="277"/>
      <c r="BB57" s="277"/>
      <c r="BC57" s="277"/>
      <c r="BD57" s="277"/>
      <c r="BE57" s="277"/>
      <c r="BF57" s="277"/>
    </row>
    <row r="58" spans="2:58" ht="11.4" customHeight="1" thickBot="1">
      <c r="B58" s="33"/>
      <c r="C58" s="310"/>
      <c r="D58" s="279"/>
      <c r="E58" s="279"/>
      <c r="F58" s="279"/>
      <c r="G58" s="279"/>
      <c r="H58" s="352"/>
      <c r="I58" s="353"/>
      <c r="J58" s="281"/>
      <c r="K58" s="52"/>
      <c r="L58" s="53"/>
      <c r="M58" s="55"/>
      <c r="N58" s="77"/>
      <c r="O58" s="13"/>
      <c r="P58" s="56"/>
    </row>
    <row r="59" spans="2:58" ht="14.4" thickBot="1">
      <c r="B59" s="58"/>
      <c r="C59" s="309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9"/>
      <c r="O59" s="56"/>
      <c r="P59" s="60"/>
    </row>
    <row r="60" spans="2:58" ht="14.4" thickBot="1">
      <c r="B60" s="517" t="s">
        <v>55</v>
      </c>
      <c r="C60" s="518"/>
      <c r="D60" s="518"/>
      <c r="E60" s="518"/>
      <c r="F60" s="519"/>
      <c r="G60" s="517" t="s">
        <v>56</v>
      </c>
      <c r="H60" s="518"/>
      <c r="I60" s="518"/>
      <c r="J60" s="519"/>
      <c r="K60" s="517" t="s">
        <v>51</v>
      </c>
      <c r="L60" s="518"/>
      <c r="M60" s="518"/>
      <c r="N60" s="520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>
        <f>L54</f>
        <v>4.7948591201186304</v>
      </c>
      <c r="D62" s="76">
        <v>7.5138372886496425</v>
      </c>
      <c r="E62" s="76">
        <v>7.0776801886470047</v>
      </c>
      <c r="F62" s="66">
        <v>4.8</v>
      </c>
      <c r="G62" s="65">
        <f>[31]March_2025!$P$11</f>
        <v>5.3375594345804807</v>
      </c>
      <c r="H62" s="76">
        <v>7.8024727750628351</v>
      </c>
      <c r="I62" s="76">
        <v>7.5038820092499972</v>
      </c>
      <c r="J62" s="66">
        <v>4.8</v>
      </c>
      <c r="K62" s="67">
        <f>K54</f>
        <v>0.50526315789473686</v>
      </c>
      <c r="L62" s="194">
        <v>0.72675851715537909</v>
      </c>
      <c r="M62" s="194">
        <v>0.82117272105063199</v>
      </c>
      <c r="N62" s="68">
        <v>1</v>
      </c>
      <c r="O62" s="56"/>
      <c r="P62" s="69"/>
    </row>
    <row r="63" spans="2:58">
      <c r="B63" s="33" t="s">
        <v>9</v>
      </c>
      <c r="C63" s="65">
        <f>L57</f>
        <v>12.637362637362623</v>
      </c>
      <c r="D63" s="76">
        <v>9.1658488714426003</v>
      </c>
      <c r="E63" s="76">
        <v>7.0876447150717015</v>
      </c>
      <c r="F63" s="66">
        <v>4.8</v>
      </c>
      <c r="G63" s="65">
        <f>[31]March_2025!$P$21</f>
        <v>13.268899774923854</v>
      </c>
      <c r="H63" s="76">
        <v>10.247382050247399</v>
      </c>
      <c r="I63" s="76">
        <v>7.3196940127317216</v>
      </c>
      <c r="J63" s="66">
        <v>4.8</v>
      </c>
      <c r="K63" s="67">
        <f>K57</f>
        <v>0.50526315789473675</v>
      </c>
      <c r="L63" s="194">
        <v>0.65280323620504388</v>
      </c>
      <c r="M63" s="194">
        <v>0.70201270374871705</v>
      </c>
      <c r="N63" s="68">
        <v>1</v>
      </c>
      <c r="P63" s="69"/>
    </row>
    <row r="64" spans="2:58">
      <c r="B64" s="34" t="s">
        <v>40</v>
      </c>
      <c r="C64" s="65"/>
      <c r="D64" s="76">
        <v>7.5445173383317687</v>
      </c>
      <c r="E64" s="76">
        <v>12.682396771189062</v>
      </c>
      <c r="F64" s="66">
        <v>5.5</v>
      </c>
      <c r="G64" s="65"/>
      <c r="H64" s="76">
        <v>8.3720217865482667</v>
      </c>
      <c r="I64" s="76">
        <v>14.322773542755614</v>
      </c>
      <c r="J64" s="66">
        <v>5.5</v>
      </c>
      <c r="K64" s="67"/>
      <c r="L64" s="194">
        <v>0.98650000000000004</v>
      </c>
      <c r="M64" s="194">
        <v>0.56862100456621001</v>
      </c>
      <c r="N64" s="68">
        <v>1</v>
      </c>
      <c r="P64" s="69"/>
    </row>
    <row r="65" spans="2:16">
      <c r="B65" s="22" t="s">
        <v>33</v>
      </c>
      <c r="C65" s="65"/>
      <c r="D65" s="76"/>
      <c r="E65" s="76">
        <v>3.9190537266638161</v>
      </c>
      <c r="F65" s="66">
        <v>3.3</v>
      </c>
      <c r="G65" s="65"/>
      <c r="H65" s="76"/>
      <c r="I65" s="76">
        <v>5.345661717473071</v>
      </c>
      <c r="J65" s="66">
        <v>3.3</v>
      </c>
      <c r="K65" s="67"/>
      <c r="L65" s="194"/>
      <c r="M65" s="194">
        <v>0.78853801169590654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>
        <v>3.0622243998040313</v>
      </c>
      <c r="E68" s="76">
        <v>2.5618217399039276</v>
      </c>
      <c r="F68" s="66">
        <v>3.3</v>
      </c>
      <c r="G68" s="282"/>
      <c r="H68" s="76">
        <v>4.90230047253743</v>
      </c>
      <c r="I68" s="76">
        <v>4.6996399261015078</v>
      </c>
      <c r="J68" s="66">
        <v>3.3</v>
      </c>
      <c r="K68" s="67"/>
      <c r="L68" s="194">
        <v>0.98924999999999996</v>
      </c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37" t="s">
        <v>165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7.1183673469387791</v>
      </c>
      <c r="E71" s="76">
        <v>7.0913482258402976</v>
      </c>
      <c r="F71" s="341">
        <v>4.5</v>
      </c>
      <c r="H71" s="76">
        <v>7.6800914543192222</v>
      </c>
      <c r="I71" s="76">
        <v>7.8861069352332436</v>
      </c>
      <c r="J71" s="341">
        <v>4.5</v>
      </c>
      <c r="L71" s="194">
        <v>0.77723270440251579</v>
      </c>
      <c r="M71" s="194">
        <v>0.75493057523377738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2">
    <mergeCell ref="M52:M53"/>
    <mergeCell ref="B60:F60"/>
    <mergeCell ref="G60:J60"/>
    <mergeCell ref="K60:N60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V1:W1"/>
    <mergeCell ref="X1:Y1"/>
    <mergeCell ref="Z1:AA1"/>
    <mergeCell ref="B2:O2"/>
    <mergeCell ref="C5:D5"/>
    <mergeCell ref="M4:N4"/>
    <mergeCell ref="T1:U1"/>
  </mergeCells>
  <conditionalFormatting sqref="B47:B48">
    <cfRule type="cellIs" dxfId="1865" priority="134" operator="notBetween">
      <formula>#REF!</formula>
      <formula>#REF!</formula>
    </cfRule>
  </conditionalFormatting>
  <conditionalFormatting sqref="C51">
    <cfRule type="cellIs" dxfId="1864" priority="166" stopIfTrue="1" operator="greaterThan">
      <formula>100</formula>
    </cfRule>
    <cfRule type="cellIs" dxfId="1863" priority="165" stopIfTrue="1" operator="lessThan">
      <formula>96</formula>
    </cfRule>
  </conditionalFormatting>
  <conditionalFormatting sqref="C62">
    <cfRule type="cellIs" dxfId="1862" priority="66" stopIfTrue="1" operator="greaterThan">
      <formula>$F62</formula>
    </cfRule>
  </conditionalFormatting>
  <conditionalFormatting sqref="C62:C63">
    <cfRule type="cellIs" dxfId="1861" priority="67" stopIfTrue="1" operator="lessThanOrEqual">
      <formula>0</formula>
    </cfRule>
  </conditionalFormatting>
  <conditionalFormatting sqref="C63">
    <cfRule type="cellIs" dxfId="1860" priority="169" stopIfTrue="1" operator="greaterThan">
      <formula>$F62</formula>
    </cfRule>
  </conditionalFormatting>
  <conditionalFormatting sqref="C64:C66">
    <cfRule type="cellIs" dxfId="1859" priority="93" stopIfTrue="1" operator="greaterThan">
      <formula>$F64</formula>
    </cfRule>
  </conditionalFormatting>
  <conditionalFormatting sqref="C64:C67">
    <cfRule type="cellIs" dxfId="1858" priority="113" stopIfTrue="1" operator="lessThanOrEqual">
      <formula>0</formula>
    </cfRule>
  </conditionalFormatting>
  <conditionalFormatting sqref="C67">
    <cfRule type="cellIs" dxfId="1857" priority="112" stopIfTrue="1" operator="greaterThan">
      <formula>$J67</formula>
    </cfRule>
  </conditionalFormatting>
  <conditionalFormatting sqref="C73:C77">
    <cfRule type="cellIs" dxfId="1856" priority="157" stopIfTrue="1" operator="lessThanOrEqual">
      <formula>0</formula>
    </cfRule>
  </conditionalFormatting>
  <conditionalFormatting sqref="C74:C77">
    <cfRule type="cellIs" dxfId="1855" priority="156" stopIfTrue="1" operator="greaterThan">
      <formula>$F$73</formula>
    </cfRule>
  </conditionalFormatting>
  <conditionalFormatting sqref="C79">
    <cfRule type="cellIs" dxfId="1854" priority="159" stopIfTrue="1" operator="lessThanOrEqual">
      <formula>0</formula>
    </cfRule>
    <cfRule type="cellIs" dxfId="1853" priority="158" stopIfTrue="1" operator="greaterThan">
      <formula>$F$73</formula>
    </cfRule>
  </conditionalFormatting>
  <conditionalFormatting sqref="C73:D73 D75:D81">
    <cfRule type="cellIs" dxfId="1852" priority="151" stopIfTrue="1" operator="greaterThan">
      <formula>4.5</formula>
    </cfRule>
  </conditionalFormatting>
  <conditionalFormatting sqref="D47:D48">
    <cfRule type="cellIs" dxfId="1851" priority="135" operator="notBetween">
      <formula>#REF!</formula>
      <formula>#REF!</formula>
    </cfRule>
  </conditionalFormatting>
  <conditionalFormatting sqref="D62:D69">
    <cfRule type="cellIs" dxfId="1850" priority="124" stopIfTrue="1" operator="lessThanOrEqual">
      <formula>0</formula>
    </cfRule>
  </conditionalFormatting>
  <conditionalFormatting sqref="D70">
    <cfRule type="cellIs" dxfId="1849" priority="123" stopIfTrue="1" operator="lessThanOrEqual">
      <formula>0</formula>
    </cfRule>
  </conditionalFormatting>
  <conditionalFormatting sqref="D73 D75:D81">
    <cfRule type="cellIs" dxfId="1848" priority="152" stopIfTrue="1" operator="lessThanOrEqual">
      <formula>0</formula>
    </cfRule>
  </conditionalFormatting>
  <conditionalFormatting sqref="D74">
    <cfRule type="cellIs" dxfId="1847" priority="144" stopIfTrue="1" operator="lessThanOrEqual">
      <formula>0</formula>
    </cfRule>
    <cfRule type="cellIs" dxfId="1846" priority="143" stopIfTrue="1" operator="greaterThan">
      <formula>$F$73</formula>
    </cfRule>
  </conditionalFormatting>
  <conditionalFormatting sqref="D62:E71">
    <cfRule type="cellIs" dxfId="1845" priority="51" stopIfTrue="1" operator="greaterThan">
      <formula>$F62</formula>
    </cfRule>
  </conditionalFormatting>
  <conditionalFormatting sqref="D71:E71">
    <cfRule type="cellIs" dxfId="1844" priority="52" stopIfTrue="1" operator="lessThanOrEqual">
      <formula>0</formula>
    </cfRule>
  </conditionalFormatting>
  <conditionalFormatting sqref="E10:E22">
    <cfRule type="cellIs" dxfId="1843" priority="42" operator="lessThan">
      <formula>48</formula>
    </cfRule>
  </conditionalFormatting>
  <conditionalFormatting sqref="E51">
    <cfRule type="cellIs" dxfId="1842" priority="145" stopIfTrue="1" operator="lessThan">
      <formula>96.8</formula>
    </cfRule>
    <cfRule type="cellIs" dxfId="1841" priority="146" stopIfTrue="1" operator="greaterThan">
      <formula>100</formula>
    </cfRule>
  </conditionalFormatting>
  <conditionalFormatting sqref="E62:E70">
    <cfRule type="cellIs" dxfId="1840" priority="117" stopIfTrue="1" operator="lessThanOrEqual">
      <formula>0</formula>
    </cfRule>
  </conditionalFormatting>
  <conditionalFormatting sqref="E73:E81">
    <cfRule type="cellIs" dxfId="1839" priority="137" stopIfTrue="1" operator="greaterThan">
      <formula>4.5</formula>
    </cfRule>
    <cfRule type="cellIs" dxfId="1838" priority="138" stopIfTrue="1" operator="lessThanOrEqual">
      <formula>0</formula>
    </cfRule>
  </conditionalFormatting>
  <conditionalFormatting sqref="E50:F51">
    <cfRule type="cellIs" dxfId="1837" priority="147" stopIfTrue="1" operator="lessThan">
      <formula>96.5</formula>
    </cfRule>
    <cfRule type="cellIs" dxfId="1836" priority="148" stopIfTrue="1" operator="greaterThan">
      <formula>100</formula>
    </cfRule>
  </conditionalFormatting>
  <conditionalFormatting sqref="F10:F21">
    <cfRule type="cellIs" dxfId="1835" priority="44" operator="greaterThan">
      <formula>60</formula>
    </cfRule>
  </conditionalFormatting>
  <conditionalFormatting sqref="F22">
    <cfRule type="cellIs" dxfId="1834" priority="173" operator="greaterThan">
      <formula>$AA59</formula>
    </cfRule>
    <cfRule type="cellIs" dxfId="1833" priority="172" operator="greaterThan">
      <formula>$AA22</formula>
    </cfRule>
  </conditionalFormatting>
  <conditionalFormatting sqref="F51">
    <cfRule type="cellIs" dxfId="1832" priority="163" stopIfTrue="1" operator="lessThan">
      <formula>96.8</formula>
    </cfRule>
    <cfRule type="cellIs" dxfId="1831" priority="164" stopIfTrue="1" operator="greaterThan">
      <formula>100</formula>
    </cfRule>
  </conditionalFormatting>
  <conditionalFormatting sqref="F71">
    <cfRule type="cellIs" dxfId="1830" priority="118" stopIfTrue="1" operator="greaterThan">
      <formula>$F71</formula>
    </cfRule>
    <cfRule type="cellIs" dxfId="1829" priority="119" stopIfTrue="1" operator="lessThanOrEqual">
      <formula>0</formula>
    </cfRule>
  </conditionalFormatting>
  <conditionalFormatting sqref="G62:G63 C68:C70">
    <cfRule type="cellIs" dxfId="1828" priority="126" stopIfTrue="1" operator="lessThanOrEqual">
      <formula>0</formula>
    </cfRule>
    <cfRule type="cellIs" dxfId="1827" priority="125" stopIfTrue="1" operator="greaterThan">
      <formula>$F62</formula>
    </cfRule>
  </conditionalFormatting>
  <conditionalFormatting sqref="G62:G63">
    <cfRule type="cellIs" dxfId="1826" priority="73" stopIfTrue="1" operator="lessThanOrEqual">
      <formula>0</formula>
    </cfRule>
    <cfRule type="cellIs" dxfId="1825" priority="72" stopIfTrue="1" operator="greaterThan">
      <formula>$F62</formula>
    </cfRule>
  </conditionalFormatting>
  <conditionalFormatting sqref="G64">
    <cfRule type="cellIs" dxfId="1824" priority="168" stopIfTrue="1" operator="lessThanOrEqual">
      <formula>0</formula>
    </cfRule>
    <cfRule type="cellIs" dxfId="1823" priority="167" stopIfTrue="1" operator="greaterThan">
      <formula>$F63</formula>
    </cfRule>
  </conditionalFormatting>
  <conditionalFormatting sqref="G65">
    <cfRule type="cellIs" dxfId="1822" priority="121" stopIfTrue="1" operator="lessThanOrEqual">
      <formula>0</formula>
    </cfRule>
    <cfRule type="cellIs" dxfId="1821" priority="120" stopIfTrue="1" operator="greaterThan">
      <formula>$F65</formula>
    </cfRule>
  </conditionalFormatting>
  <conditionalFormatting sqref="G66:G70">
    <cfRule type="cellIs" dxfId="1820" priority="128" stopIfTrue="1" operator="lessThanOrEqual">
      <formula>0</formula>
    </cfRule>
    <cfRule type="cellIs" dxfId="1819" priority="127" stopIfTrue="1" operator="greaterThan">
      <formula>$J66</formula>
    </cfRule>
  </conditionalFormatting>
  <conditionalFormatting sqref="G75:G80 C78 C80">
    <cfRule type="cellIs" dxfId="1818" priority="160" stopIfTrue="1" operator="greaterThan">
      <formula>4.5</formula>
    </cfRule>
    <cfRule type="cellIs" dxfId="1817" priority="161" stopIfTrue="1" operator="lessThanOrEqual">
      <formula>0</formula>
    </cfRule>
  </conditionalFormatting>
  <conditionalFormatting sqref="G10:H22">
    <cfRule type="expression" dxfId="1816" priority="15">
      <formula>IF(+(IF(G10&lt;#REF!,0,IF(G10&gt;#REF!,0,1)))=0,1)</formula>
    </cfRule>
  </conditionalFormatting>
  <conditionalFormatting sqref="G74:H74">
    <cfRule type="cellIs" dxfId="1815" priority="141" stopIfTrue="1" operator="greaterThan">
      <formula>$F$73</formula>
    </cfRule>
    <cfRule type="cellIs" dxfId="1814" priority="142" stopIfTrue="1" operator="lessThanOrEqual">
      <formula>0</formula>
    </cfRule>
  </conditionalFormatting>
  <conditionalFormatting sqref="H35:H49 G37:G48 I38:I49">
    <cfRule type="cellIs" dxfId="1813" priority="139" stopIfTrue="1" operator="greaterThan">
      <formula>0</formula>
    </cfRule>
  </conditionalFormatting>
  <conditionalFormatting sqref="H54">
    <cfRule type="cellIs" dxfId="1812" priority="18" stopIfTrue="1" operator="greaterThan">
      <formula>$F$35</formula>
    </cfRule>
    <cfRule type="cellIs" dxfId="1811" priority="26" stopIfTrue="1" operator="greaterThan">
      <formula>$F$38</formula>
    </cfRule>
    <cfRule type="cellIs" dxfId="1810" priority="29" stopIfTrue="1" operator="lessThanOrEqual">
      <formula>0</formula>
    </cfRule>
    <cfRule type="cellIs" dxfId="1809" priority="28" stopIfTrue="1" operator="greaterThan">
      <formula>$F$36</formula>
    </cfRule>
    <cfRule type="cellIs" dxfId="1808" priority="27" stopIfTrue="1" operator="lessThanOrEqual">
      <formula>0</formula>
    </cfRule>
    <cfRule type="cellIs" dxfId="1807" priority="17" stopIfTrue="1" operator="lessThanOrEqual">
      <formula>0</formula>
    </cfRule>
  </conditionalFormatting>
  <conditionalFormatting sqref="H55">
    <cfRule type="cellIs" dxfId="1806" priority="89" stopIfTrue="1" operator="greaterThan">
      <formula>$F$64</formula>
    </cfRule>
    <cfRule type="cellIs" dxfId="1805" priority="92" stopIfTrue="1" operator="lessThanOrEqual">
      <formula>0</formula>
    </cfRule>
    <cfRule type="cellIs" dxfId="1804" priority="80" stopIfTrue="1" operator="lessThanOrEqual">
      <formula>0</formula>
    </cfRule>
    <cfRule type="cellIs" dxfId="1803" priority="81" stopIfTrue="1" operator="greaterThan">
      <formula>$F$61</formula>
    </cfRule>
    <cfRule type="cellIs" dxfId="1802" priority="91" stopIfTrue="1" operator="greaterThan">
      <formula>$F$62</formula>
    </cfRule>
    <cfRule type="cellIs" dxfId="1801" priority="90" stopIfTrue="1" operator="lessThanOrEqual">
      <formula>0</formula>
    </cfRule>
  </conditionalFormatting>
  <conditionalFormatting sqref="H56">
    <cfRule type="cellIs" dxfId="1800" priority="55" stopIfTrue="1" operator="lessThanOrEqual">
      <formula>0</formula>
    </cfRule>
    <cfRule type="cellIs" dxfId="1799" priority="56" stopIfTrue="1" operator="greaterThan">
      <formula>#REF!</formula>
    </cfRule>
    <cfRule type="cellIs" dxfId="1798" priority="64" stopIfTrue="1" operator="greaterThan">
      <formula>#REF!</formula>
    </cfRule>
    <cfRule type="cellIs" dxfId="1797" priority="65" stopIfTrue="1" operator="lessThanOrEqual">
      <formula>0</formula>
    </cfRule>
  </conditionalFormatting>
  <conditionalFormatting sqref="H57">
    <cfRule type="cellIs" dxfId="1796" priority="14" stopIfTrue="1" operator="lessThanOrEqual">
      <formula>0</formula>
    </cfRule>
    <cfRule type="cellIs" dxfId="1795" priority="12" stopIfTrue="1" operator="lessThanOrEqual">
      <formula>0</formula>
    </cfRule>
    <cfRule type="cellIs" dxfId="1794" priority="11" stopIfTrue="1" operator="greaterThan">
      <formula>$F$38</formula>
    </cfRule>
    <cfRule type="cellIs" dxfId="1793" priority="3" stopIfTrue="1" operator="greaterThan">
      <formula>$F$35</formula>
    </cfRule>
    <cfRule type="cellIs" dxfId="1792" priority="2" stopIfTrue="1" operator="lessThanOrEqual">
      <formula>0</formula>
    </cfRule>
    <cfRule type="cellIs" dxfId="1791" priority="13" stopIfTrue="1" operator="greaterThan">
      <formula>$F$36</formula>
    </cfRule>
  </conditionalFormatting>
  <conditionalFormatting sqref="H58">
    <cfRule type="cellIs" dxfId="1790" priority="133" stopIfTrue="1" operator="lessThanOrEqual">
      <formula>0</formula>
    </cfRule>
    <cfRule type="cellIs" dxfId="1789" priority="132" stopIfTrue="1" operator="greaterThan">
      <formula>$F$56</formula>
    </cfRule>
    <cfRule type="cellIs" dxfId="1788" priority="131" stopIfTrue="1" operator="lessThanOrEqual">
      <formula>0</formula>
    </cfRule>
    <cfRule type="cellIs" dxfId="1787" priority="130" stopIfTrue="1" operator="greaterThan">
      <formula>$F$59</formula>
    </cfRule>
  </conditionalFormatting>
  <conditionalFormatting sqref="H62:H69">
    <cfRule type="cellIs" dxfId="1786" priority="111" stopIfTrue="1" operator="lessThanOrEqual">
      <formula>0</formula>
    </cfRule>
    <cfRule type="cellIs" dxfId="1785" priority="110" stopIfTrue="1" operator="greaterThan">
      <formula>$J62</formula>
    </cfRule>
  </conditionalFormatting>
  <conditionalFormatting sqref="H70">
    <cfRule type="cellIs" dxfId="1784" priority="114" operator="greaterThan">
      <formula>5.3</formula>
    </cfRule>
  </conditionalFormatting>
  <conditionalFormatting sqref="H73 H75:H81">
    <cfRule type="cellIs" dxfId="1783" priority="153" stopIfTrue="1" operator="greaterThan">
      <formula>4.5</formula>
    </cfRule>
    <cfRule type="cellIs" dxfId="1782" priority="154" stopIfTrue="1" operator="lessThanOrEqual">
      <formula>0</formula>
    </cfRule>
  </conditionalFormatting>
  <conditionalFormatting sqref="H54:I54">
    <cfRule type="cellIs" dxfId="1781" priority="19" stopIfTrue="1" operator="lessThanOrEqual">
      <formula>0</formula>
    </cfRule>
    <cfRule type="cellIs" dxfId="1780" priority="16" stopIfTrue="1" operator="greaterThan">
      <formula>$F$37</formula>
    </cfRule>
  </conditionalFormatting>
  <conditionalFormatting sqref="H55:I55">
    <cfRule type="cellIs" dxfId="1779" priority="79" stopIfTrue="1" operator="greaterThan">
      <formula>$F$63</formula>
    </cfRule>
    <cfRule type="cellIs" dxfId="1778" priority="82" stopIfTrue="1" operator="lessThanOrEqual">
      <formula>0</formula>
    </cfRule>
  </conditionalFormatting>
  <conditionalFormatting sqref="H56:I56">
    <cfRule type="cellIs" dxfId="1777" priority="57" stopIfTrue="1" operator="lessThanOrEqual">
      <formula>0</formula>
    </cfRule>
    <cfRule type="cellIs" dxfId="1776" priority="63" stopIfTrue="1" operator="lessThanOrEqual">
      <formula>0</formula>
    </cfRule>
    <cfRule type="cellIs" dxfId="1775" priority="60" stopIfTrue="1" operator="greaterThan">
      <formula>#REF!</formula>
    </cfRule>
    <cfRule type="cellIs" dxfId="1774" priority="54" stopIfTrue="1" operator="greaterThan">
      <formula>#REF!</formula>
    </cfRule>
  </conditionalFormatting>
  <conditionalFormatting sqref="H57:I57">
    <cfRule type="cellIs" dxfId="1773" priority="1" stopIfTrue="1" operator="greaterThan">
      <formula>$F$37</formula>
    </cfRule>
    <cfRule type="cellIs" dxfId="1772" priority="4" stopIfTrue="1" operator="lessThanOrEqual">
      <formula>0</formula>
    </cfRule>
  </conditionalFormatting>
  <conditionalFormatting sqref="H71:I71">
    <cfRule type="cellIs" dxfId="1771" priority="49" stopIfTrue="1" operator="greaterThan">
      <formula>$J71</formula>
    </cfRule>
    <cfRule type="cellIs" dxfId="1770" priority="50" stopIfTrue="1" operator="lessThanOrEqual">
      <formula>0</formula>
    </cfRule>
  </conditionalFormatting>
  <conditionalFormatting sqref="I22">
    <cfRule type="cellIs" dxfId="1769" priority="71" operator="lessThan">
      <formula>98</formula>
    </cfRule>
    <cfRule type="cellIs" dxfId="1768" priority="68" operator="lessThan">
      <formula>97.8</formula>
    </cfRule>
  </conditionalFormatting>
  <conditionalFormatting sqref="I54">
    <cfRule type="cellIs" dxfId="1767" priority="22" stopIfTrue="1" operator="greaterThan">
      <formula>$F$37</formula>
    </cfRule>
    <cfRule type="cellIs" dxfId="1766" priority="23" stopIfTrue="1" operator="lessThanOrEqual">
      <formula>0</formula>
    </cfRule>
    <cfRule type="cellIs" dxfId="1765" priority="24" stopIfTrue="1" operator="greaterThan">
      <formula>$F$35</formula>
    </cfRule>
    <cfRule type="cellIs" dxfId="1764" priority="25" stopIfTrue="1" operator="lessThanOrEqual">
      <formula>0</formula>
    </cfRule>
    <cfRule type="cellIs" dxfId="1763" priority="20" stopIfTrue="1" operator="greaterThan">
      <formula>$F$35</formula>
    </cfRule>
    <cfRule type="cellIs" dxfId="1762" priority="21" stopIfTrue="1" operator="lessThanOrEqual">
      <formula>0</formula>
    </cfRule>
  </conditionalFormatting>
  <conditionalFormatting sqref="I55">
    <cfRule type="cellIs" dxfId="1761" priority="84" stopIfTrue="1" operator="lessThanOrEqual">
      <formula>0</formula>
    </cfRule>
    <cfRule type="cellIs" dxfId="1760" priority="85" stopIfTrue="1" operator="greaterThan">
      <formula>$F$63</formula>
    </cfRule>
    <cfRule type="cellIs" dxfId="1759" priority="86" stopIfTrue="1" operator="lessThanOrEqual">
      <formula>0</formula>
    </cfRule>
    <cfRule type="cellIs" dxfId="1758" priority="87" stopIfTrue="1" operator="greaterThan">
      <formula>$F$61</formula>
    </cfRule>
    <cfRule type="cellIs" dxfId="1757" priority="88" stopIfTrue="1" operator="lessThanOrEqual">
      <formula>0</formula>
    </cfRule>
    <cfRule type="cellIs" dxfId="1756" priority="83" stopIfTrue="1" operator="greaterThan">
      <formula>$F$61</formula>
    </cfRule>
  </conditionalFormatting>
  <conditionalFormatting sqref="I56">
    <cfRule type="cellIs" dxfId="1755" priority="62" stopIfTrue="1" operator="greaterThan">
      <formula>#REF!</formula>
    </cfRule>
    <cfRule type="cellIs" dxfId="1754" priority="58" stopIfTrue="1" operator="greaterThan">
      <formula>#REF!</formula>
    </cfRule>
    <cfRule type="cellIs" dxfId="1753" priority="59" stopIfTrue="1" operator="lessThanOrEqual">
      <formula>0</formula>
    </cfRule>
    <cfRule type="cellIs" dxfId="1752" priority="61" stopIfTrue="1" operator="lessThanOrEqual">
      <formula>0</formula>
    </cfRule>
  </conditionalFormatting>
  <conditionalFormatting sqref="I57">
    <cfRule type="cellIs" dxfId="1751" priority="10" stopIfTrue="1" operator="lessThanOrEqual">
      <formula>0</formula>
    </cfRule>
    <cfRule type="cellIs" dxfId="1750" priority="9" stopIfTrue="1" operator="greaterThan">
      <formula>$F$35</formula>
    </cfRule>
    <cfRule type="cellIs" dxfId="1749" priority="8" stopIfTrue="1" operator="lessThanOrEqual">
      <formula>0</formula>
    </cfRule>
    <cfRule type="cellIs" dxfId="1748" priority="7" stopIfTrue="1" operator="greaterThan">
      <formula>$F$37</formula>
    </cfRule>
    <cfRule type="cellIs" dxfId="1747" priority="6" stopIfTrue="1" operator="lessThanOrEqual">
      <formula>0</formula>
    </cfRule>
    <cfRule type="cellIs" dxfId="1746" priority="5" stopIfTrue="1" operator="greaterThan">
      <formula>$F$35</formula>
    </cfRule>
  </conditionalFormatting>
  <conditionalFormatting sqref="I62:I70">
    <cfRule type="cellIs" dxfId="1745" priority="116" stopIfTrue="1" operator="lessThanOrEqual">
      <formula>0</formula>
    </cfRule>
    <cfRule type="cellIs" dxfId="1744" priority="115" stopIfTrue="1" operator="greaterThan">
      <formula>$J62</formula>
    </cfRule>
  </conditionalFormatting>
  <conditionalFormatting sqref="I73:I81">
    <cfRule type="cellIs" dxfId="1743" priority="150" stopIfTrue="1" operator="lessThanOrEqual">
      <formula>0</formula>
    </cfRule>
    <cfRule type="cellIs" dxfId="1742" priority="149" stopIfTrue="1" operator="greaterThan">
      <formula>4.5</formula>
    </cfRule>
  </conditionalFormatting>
  <conditionalFormatting sqref="I10:J21">
    <cfRule type="cellIs" dxfId="1741" priority="45" operator="lessThan">
      <formula>97.9</formula>
    </cfRule>
  </conditionalFormatting>
  <conditionalFormatting sqref="J22">
    <cfRule type="cellIs" dxfId="1740" priority="70" operator="lessThan">
      <formula>97.4</formula>
    </cfRule>
    <cfRule type="cellIs" dxfId="1739" priority="69" operator="notBetween">
      <formula>98</formula>
      <formula>99.9</formula>
    </cfRule>
  </conditionalFormatting>
  <conditionalFormatting sqref="J25:J27">
    <cfRule type="cellIs" dxfId="1738" priority="32" stopIfTrue="1" operator="lessThan">
      <formula>96.8</formula>
    </cfRule>
    <cfRule type="cellIs" dxfId="1737" priority="33" stopIfTrue="1" operator="greaterThan">
      <formula>100</formula>
    </cfRule>
    <cfRule type="cellIs" dxfId="1736" priority="34" operator="lessThan">
      <formula>98</formula>
    </cfRule>
  </conditionalFormatting>
  <conditionalFormatting sqref="J25:J29">
    <cfRule type="cellIs" dxfId="1735" priority="31" operator="lessThan">
      <formula>97.4</formula>
    </cfRule>
  </conditionalFormatting>
  <conditionalFormatting sqref="J30">
    <cfRule type="cellIs" dxfId="1734" priority="94" operator="lessThan">
      <formula>98</formula>
    </cfRule>
  </conditionalFormatting>
  <conditionalFormatting sqref="J31:J33">
    <cfRule type="cellIs" dxfId="1733" priority="95" stopIfTrue="1" operator="lessThan">
      <formula>96.8</formula>
    </cfRule>
    <cfRule type="cellIs" dxfId="1732" priority="96" stopIfTrue="1" operator="greaterThan">
      <formula>100</formula>
    </cfRule>
  </conditionalFormatting>
  <conditionalFormatting sqref="J31:J34">
    <cfRule type="cellIs" dxfId="1731" priority="97" operator="lessThan">
      <formula>98</formula>
    </cfRule>
  </conditionalFormatting>
  <conditionalFormatting sqref="J71">
    <cfRule type="cellIs" dxfId="1730" priority="47" stopIfTrue="1" operator="lessThanOrEqual">
      <formula>0</formula>
    </cfRule>
    <cfRule type="cellIs" dxfId="1729" priority="46" stopIfTrue="1" operator="greaterThan">
      <formula>$F71</formula>
    </cfRule>
  </conditionalFormatting>
  <conditionalFormatting sqref="K10:K22">
    <cfRule type="cellIs" dxfId="1728" priority="39" operator="lessThan">
      <formula>4</formula>
    </cfRule>
    <cfRule type="cellIs" dxfId="1727" priority="43" operator="greaterThan">
      <formula>6.4</formula>
    </cfRule>
    <cfRule type="cellIs" dxfId="1726" priority="38" operator="greaterThan">
      <formula>6</formula>
    </cfRule>
  </conditionalFormatting>
  <conditionalFormatting sqref="K39:K48">
    <cfRule type="cellIs" dxfId="1725" priority="122" operator="notEqual">
      <formula>#REF!</formula>
    </cfRule>
  </conditionalFormatting>
  <conditionalFormatting sqref="K54:K58 K62:N70">
    <cfRule type="cellIs" dxfId="1724" priority="129" stopIfTrue="1" operator="lessThan">
      <formula>100%</formula>
    </cfRule>
  </conditionalFormatting>
  <conditionalFormatting sqref="K73:K78">
    <cfRule type="cellIs" dxfId="1723" priority="155" stopIfTrue="1" operator="lessThan">
      <formula>100%</formula>
    </cfRule>
  </conditionalFormatting>
  <conditionalFormatting sqref="K80:K81">
    <cfRule type="cellIs" dxfId="1722" priority="162" stopIfTrue="1" operator="lessThan">
      <formula>100%</formula>
    </cfRule>
  </conditionalFormatting>
  <conditionalFormatting sqref="L10:L22">
    <cfRule type="cellIs" dxfId="1721" priority="41" operator="greaterThan">
      <formula>65</formula>
    </cfRule>
    <cfRule type="cellIs" dxfId="1720" priority="40" operator="between">
      <formula>61</formula>
      <formula>65</formula>
    </cfRule>
  </conditionalFormatting>
  <conditionalFormatting sqref="L25:M36">
    <cfRule type="cellIs" dxfId="1719" priority="53" operator="lessThan">
      <formula>98</formula>
    </cfRule>
  </conditionalFormatting>
  <conditionalFormatting sqref="L40:N40">
    <cfRule type="cellIs" dxfId="1718" priority="76" operator="notEqual">
      <formula>#REF!</formula>
    </cfRule>
  </conditionalFormatting>
  <conditionalFormatting sqref="L71:N71">
    <cfRule type="cellIs" dxfId="1717" priority="48" stopIfTrue="1" operator="lessThan">
      <formula>100%</formula>
    </cfRule>
  </conditionalFormatting>
  <conditionalFormatting sqref="L73:N81">
    <cfRule type="cellIs" dxfId="1716" priority="140" stopIfTrue="1" operator="lessThan">
      <formula>100%</formula>
    </cfRule>
  </conditionalFormatting>
  <conditionalFormatting sqref="M10:M22">
    <cfRule type="expression" dxfId="1715" priority="36">
      <formula>IF(+(IF(M10&lt;V10,0,IF(M10&gt;W10,0,1)))=0,1)</formula>
    </cfRule>
  </conditionalFormatting>
  <conditionalFormatting sqref="M6:N6">
    <cfRule type="cellIs" dxfId="1714" priority="77" operator="greaterThanOrEqual">
      <formula>15</formula>
    </cfRule>
    <cfRule type="cellIs" dxfId="1713" priority="78" operator="greaterThanOrEqual">
      <formula>19</formula>
    </cfRule>
  </conditionalFormatting>
  <conditionalFormatting sqref="N10:N22">
    <cfRule type="expression" dxfId="1712" priority="37">
      <formula>IF(+(IF(N10&lt;X10,0,IF(N10&gt;Y10,0,1)))=0,1)</formula>
    </cfRule>
  </conditionalFormatting>
  <conditionalFormatting sqref="N22">
    <cfRule type="expression" dxfId="1711" priority="170">
      <formula>IF(+(IF(N22&lt;X64,0,IF(N22&gt;Y64,0,1)))=0,1)</formula>
    </cfRule>
    <cfRule type="expression" dxfId="1710" priority="171">
      <formula>IF(+(IF(N22&lt;X59,0,IF(N22&gt;Y59,0,1)))=0,1)</formula>
    </cfRule>
  </conditionalFormatting>
  <conditionalFormatting sqref="P6">
    <cfRule type="cellIs" dxfId="1709" priority="136" operator="greaterThanOrEqual">
      <formula>19</formula>
    </cfRule>
  </conditionalFormatting>
  <dataValidations count="1">
    <dataValidation type="list" allowBlank="1" showInputMessage="1" showErrorMessage="1" sqref="S8 B22" xr:uid="{AD94E0FA-D869-4B4B-8EB8-57B9217CA9C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4ACB-8E5F-4871-B340-C401554BF90C}">
  <sheetPr>
    <pageSetUpPr fitToPage="1"/>
  </sheetPr>
  <dimension ref="A1:BF81"/>
  <sheetViews>
    <sheetView topLeftCell="J25" zoomScale="80" zoomScaleNormal="80" workbookViewId="0">
      <selection activeCell="S17" sqref="S17:AA22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45733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[23]Brewhouse!$A292</f>
        <v>CA189</v>
      </c>
      <c r="D10" s="279">
        <f>[23]Brewhouse!$AF292</f>
        <v>55.1</v>
      </c>
      <c r="E10" s="279">
        <f>[23]Brewhouse!$AI292</f>
        <v>51.6</v>
      </c>
      <c r="F10" s="278">
        <f>[23]Brewhouse!$V292</f>
        <v>66</v>
      </c>
      <c r="G10" s="279">
        <f>[23]Brewhouse!$AG292</f>
        <v>11.8</v>
      </c>
      <c r="H10" s="396">
        <v>11.8</v>
      </c>
      <c r="I10" s="368">
        <f>[23]Brewhouse!$AU292</f>
        <v>99.66467104367139</v>
      </c>
      <c r="J10" s="368">
        <f>[23]Brewhouse!$AV292</f>
        <v>101.28211014334359</v>
      </c>
      <c r="K10" s="281">
        <f>[23]Brewhouse!$Q292</f>
        <v>6.0530973451327466</v>
      </c>
      <c r="L10" s="276">
        <f>[23]Brewhouse!$P292</f>
        <v>60</v>
      </c>
      <c r="M10" s="397">
        <f>[23]Brewhouse!$U292-[23]Brewhouse!$T292</f>
        <v>0.11458333333333334</v>
      </c>
      <c r="N10" s="370">
        <f>[23]Brewhouse!$Z292</f>
        <v>0.26666666666666672</v>
      </c>
      <c r="O10" s="371" t="str">
        <f>[23]Brewhouse!$AX292</f>
        <v>R.Regis</v>
      </c>
      <c r="P10" s="441"/>
      <c r="Q10" s="347"/>
      <c r="S10" s="277" t="str">
        <f t="shared" ref="S10:S16" si="0">B10</f>
        <v>CARIB</v>
      </c>
      <c r="T10" s="296">
        <f t="shared" ref="T10:T16" si="1">VLOOKUP($B10,$S$3:$Y$9,2,FALSE)</f>
        <v>11.6</v>
      </c>
      <c r="U10" s="296">
        <f t="shared" ref="U10:U16" si="2">VLOOKUP($B10,$S$3:$Y$9,3,FALSE)</f>
        <v>12</v>
      </c>
      <c r="V10" s="297">
        <f t="shared" ref="V10:V16" si="3">VLOOKUP($B10,$S$3:$Y$9,4,FALSE)</f>
        <v>0</v>
      </c>
      <c r="W10" s="297">
        <f t="shared" ref="W10:W16" si="4">VLOOKUP($B10,$S$3:$Y$9,5,FALSE)</f>
        <v>0.118055555555556</v>
      </c>
      <c r="X10" s="297">
        <f t="shared" ref="X10:X16" si="5">VLOOKUP($B10,$S$3:$Y$9,6,FALSE)</f>
        <v>0.22569444444444445</v>
      </c>
      <c r="Y10" s="297">
        <f t="shared" ref="Y10:Y16" si="6">VLOOKUP($B10,$S$3:$Y$9,7,FALSE)</f>
        <v>0.2638888888888889</v>
      </c>
      <c r="Z10" s="297">
        <f t="shared" ref="Z10:Z16" si="7">VLOOKUP($B10,$S$3:$AA$9,8,FALSE)</f>
        <v>0</v>
      </c>
      <c r="AA10" s="296">
        <f t="shared" ref="AA10:AA16" si="8">VLOOKUP($B10,$S$3:$AA$9,9,FALSE)</f>
        <v>60</v>
      </c>
    </row>
    <row r="11" spans="2:30" ht="15.75" customHeight="1">
      <c r="B11" s="29" t="s">
        <v>6</v>
      </c>
      <c r="C11" s="366" t="str">
        <f>[23]Brewhouse!$A293</f>
        <v>CA190</v>
      </c>
      <c r="D11" s="279">
        <f>[23]Brewhouse!$AF293</f>
        <v>56.2</v>
      </c>
      <c r="E11" s="279">
        <f>[23]Brewhouse!$AI293</f>
        <v>52.4</v>
      </c>
      <c r="F11" s="278">
        <f>[23]Brewhouse!$V293</f>
        <v>64</v>
      </c>
      <c r="G11" s="279">
        <f>[23]Brewhouse!$AG293</f>
        <v>11.8</v>
      </c>
      <c r="H11" s="367"/>
      <c r="I11" s="368">
        <f>[23]Brewhouse!$AU293</f>
        <v>101.46018254984246</v>
      </c>
      <c r="J11" s="368">
        <f>[23]Brewhouse!$AV293</f>
        <v>103.10658151581305</v>
      </c>
      <c r="K11" s="281">
        <f>[23]Brewhouse!$Q293</f>
        <v>3.9713774597495513</v>
      </c>
      <c r="L11" s="276">
        <f>[23]Brewhouse!$P293</f>
        <v>56</v>
      </c>
      <c r="M11" s="397">
        <f>[23]Brewhouse!$U293-[23]Brewhouse!$T293</f>
        <v>0.10972222222222222</v>
      </c>
      <c r="N11" s="370">
        <f>[23]Brewhouse!$Z293</f>
        <v>0.2631944444444444</v>
      </c>
      <c r="O11" s="371" t="str">
        <f>[23]Brewhouse!$AX293</f>
        <v>R.Sookram</v>
      </c>
      <c r="P11" s="441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[23]Brewhouse!$A294</f>
        <v>CA191</v>
      </c>
      <c r="D12" s="279">
        <f>[23]Brewhouse!$AF294</f>
        <v>55.6</v>
      </c>
      <c r="E12" s="279">
        <f>[23]Brewhouse!$AI294</f>
        <v>52.1</v>
      </c>
      <c r="F12" s="278">
        <f>[23]Brewhouse!$V294</f>
        <v>65</v>
      </c>
      <c r="G12" s="279">
        <f>[23]Brewhouse!$AG294</f>
        <v>12</v>
      </c>
      <c r="H12" s="367"/>
      <c r="I12" s="368">
        <f>[23]Brewhouse!$AU294</f>
        <v>102.67780014140652</v>
      </c>
      <c r="J12" s="368">
        <f>[23]Brewhouse!$AV294</f>
        <v>104.34395744304454</v>
      </c>
      <c r="K12" s="281">
        <f>[23]Brewhouse!$Q294</f>
        <v>4.6289752650176634</v>
      </c>
      <c r="L12" s="276">
        <f>[23]Brewhouse!$P294</f>
        <v>60</v>
      </c>
      <c r="M12" s="397">
        <f>[23]Brewhouse!$U294-[23]Brewhouse!$T294</f>
        <v>0.11180555555555555</v>
      </c>
      <c r="N12" s="370">
        <f>[23]Brewhouse!$Z294</f>
        <v>0.25486111111111115</v>
      </c>
      <c r="O12" s="371" t="str">
        <f>[23]Brewhouse!$AX294</f>
        <v>R.Sookram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[23]Brewhouse!$A295</f>
        <v>CA192</v>
      </c>
      <c r="D13" s="279">
        <f>[23]Brewhouse!$AF295</f>
        <v>50.3</v>
      </c>
      <c r="E13" s="279">
        <f>[23]Brewhouse!$AI295</f>
        <v>47</v>
      </c>
      <c r="F13" s="278">
        <f>[23]Brewhouse!$V295</f>
        <v>59</v>
      </c>
      <c r="G13" s="279">
        <f>[23]Brewhouse!$AG295</f>
        <v>11.64</v>
      </c>
      <c r="H13" s="367"/>
      <c r="I13" s="368">
        <f>[23]Brewhouse!$AU295</f>
        <v>101.8514455792621</v>
      </c>
      <c r="J13" s="368">
        <f>[23]Brewhouse!$AV295</f>
        <v>103.49402544928333</v>
      </c>
      <c r="K13" s="281">
        <f>[23]Brewhouse!$Q295</f>
        <v>5.9655831739961718</v>
      </c>
      <c r="L13" s="276">
        <f>[23]Brewhouse!$P295</f>
        <v>60</v>
      </c>
      <c r="M13" s="397">
        <f>[23]Brewhouse!$U295-[23]Brewhouse!$T295</f>
        <v>0.13263888888888886</v>
      </c>
      <c r="N13" s="370">
        <f>[23]Brewhouse!$Z295</f>
        <v>0.26666666666666661</v>
      </c>
      <c r="O13" s="371" t="str">
        <f>[23]Brewhouse!$AX295</f>
        <v>K.Benjamin</v>
      </c>
      <c r="P13" s="441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41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438">
        <v>45732</v>
      </c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41"/>
      <c r="Q15" s="347"/>
      <c r="S15" s="277">
        <f t="shared" si="0"/>
        <v>45732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customHeight="1">
      <c r="B16" s="33" t="s">
        <v>9</v>
      </c>
      <c r="C16" s="366" t="str">
        <f>[24]Brewhouse!$A121</f>
        <v>ST105</v>
      </c>
      <c r="D16" s="279">
        <f>[24]Brewhouse!$AD121</f>
        <v>55.5</v>
      </c>
      <c r="E16" s="279">
        <f>[24]Brewhouse!$AG121</f>
        <v>51.8</v>
      </c>
      <c r="F16" s="278">
        <f>[24]Brewhouse!$V121</f>
        <v>62</v>
      </c>
      <c r="G16" s="279">
        <f>[24]Brewhouse!$AE121</f>
        <v>11.8</v>
      </c>
      <c r="H16" s="396">
        <v>11.8</v>
      </c>
      <c r="I16" s="416">
        <f>[24]Brewhouse!$AS121</f>
        <v>101.34183343248617</v>
      </c>
      <c r="J16" s="416">
        <f>[24]Brewhouse!$AT121</f>
        <v>102.70380361344789</v>
      </c>
      <c r="K16" s="398">
        <f>[24]Brewhouse!$Q121</f>
        <v>6.8014705882352864</v>
      </c>
      <c r="L16" s="276">
        <f>[24]Brewhouse!$P121</f>
        <v>55</v>
      </c>
      <c r="M16" s="374">
        <f>[24]Brewhouse!$U121-[24]Brewhouse!$T121</f>
        <v>0.11597222222222225</v>
      </c>
      <c r="N16" s="370">
        <f>[24]Brewhouse!$AW121</f>
        <v>0.25902777777777775</v>
      </c>
      <c r="O16" s="417" t="str">
        <f>[24]Brewhouse!$AV121</f>
        <v>R. Regis</v>
      </c>
      <c r="P16" s="441"/>
      <c r="Q16" s="347"/>
      <c r="S16" s="277" t="str">
        <f t="shared" si="0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33" t="s">
        <v>9</v>
      </c>
      <c r="C17" s="366" t="str">
        <f>[24]Brewhouse!$A122</f>
        <v>ST106</v>
      </c>
      <c r="D17" s="279">
        <f>[24]Brewhouse!$AD122</f>
        <v>56.8</v>
      </c>
      <c r="E17" s="279">
        <f>[24]Brewhouse!$AG122</f>
        <v>53.2</v>
      </c>
      <c r="F17" s="278">
        <f>[24]Brewhouse!$V122</f>
        <v>67</v>
      </c>
      <c r="G17" s="279">
        <f>[24]Brewhouse!$AE122</f>
        <v>11.7</v>
      </c>
      <c r="H17" s="396">
        <v>11.9</v>
      </c>
      <c r="I17" s="416">
        <f>[24]Brewhouse!$AS122</f>
        <v>103.02428455849693</v>
      </c>
      <c r="J17" s="416">
        <f>[24]Brewhouse!$AT122</f>
        <v>104.40931475975246</v>
      </c>
      <c r="K17" s="398">
        <f>[24]Brewhouse!$Q122</f>
        <v>5.4945054945054945</v>
      </c>
      <c r="L17" s="276">
        <f>[24]Brewhouse!$P122</f>
        <v>59</v>
      </c>
      <c r="M17" s="374">
        <f>[24]Brewhouse!$U122-[24]Brewhouse!$T122</f>
        <v>-5.6944444444444575E-2</v>
      </c>
      <c r="N17" s="370">
        <f>[24]Brewhouse!$AW122</f>
        <v>0.25138888888888888</v>
      </c>
      <c r="O17" s="417" t="str">
        <f>[24]Brewhouse!$AV122</f>
        <v>R.Sookram</v>
      </c>
      <c r="P17" s="441"/>
      <c r="Q17" s="347"/>
      <c r="S17" s="277" t="str">
        <f t="shared" ref="S17:S23" si="9">B17</f>
        <v>STAG</v>
      </c>
      <c r="T17" s="296">
        <f t="shared" ref="T17:T23" si="10">VLOOKUP($B17,$S$3:$Y$9,2,FALSE)</f>
        <v>11.6</v>
      </c>
      <c r="U17" s="296">
        <f t="shared" ref="U17:U23" si="11">VLOOKUP($B17,$S$3:$Y$9,3,FALSE)</f>
        <v>12</v>
      </c>
      <c r="V17" s="297">
        <f t="shared" ref="V17:V23" si="12">VLOOKUP($B17,$S$3:$Y$9,4,FALSE)</f>
        <v>0</v>
      </c>
      <c r="W17" s="297">
        <f t="shared" ref="W17:W23" si="13">VLOOKUP($B17,$S$3:$Y$9,5,FALSE)</f>
        <v>0.118055555555556</v>
      </c>
      <c r="X17" s="297">
        <f t="shared" ref="X17:X23" si="14">VLOOKUP($B17,$S$3:$Y$9,6,FALSE)</f>
        <v>0.22569444444444445</v>
      </c>
      <c r="Y17" s="297">
        <f t="shared" ref="Y17:Y23" si="15">VLOOKUP($B17,$S$3:$Y$9,7,FALSE)</f>
        <v>0.2638888888888889</v>
      </c>
      <c r="Z17" s="297">
        <f t="shared" ref="Z17:Z23" si="16">VLOOKUP($B17,$S$3:$AA$9,8,FALSE)</f>
        <v>0</v>
      </c>
      <c r="AA17" s="296">
        <f t="shared" ref="AA17:AA23" si="17">VLOOKUP($B17,$S$3:$AA$9,9,FALSE)</f>
        <v>60</v>
      </c>
    </row>
    <row r="18" spans="1:27" ht="15.75" customHeight="1">
      <c r="B18" s="33" t="s">
        <v>9</v>
      </c>
      <c r="C18" s="366" t="str">
        <f>[24]Brewhouse!$A123</f>
        <v>ST107</v>
      </c>
      <c r="D18" s="279">
        <f>[24]Brewhouse!$AD123</f>
        <v>53.3</v>
      </c>
      <c r="E18" s="279">
        <f>[24]Brewhouse!$AG123</f>
        <v>49.9</v>
      </c>
      <c r="F18" s="278">
        <f>[24]Brewhouse!$V123</f>
        <v>59</v>
      </c>
      <c r="G18" s="279">
        <f>[24]Brewhouse!$AE123</f>
        <v>11.9</v>
      </c>
      <c r="H18" s="396">
        <v>11.9</v>
      </c>
      <c r="I18" s="416">
        <f>[24]Brewhouse!$AS123</f>
        <v>98.371980498141809</v>
      </c>
      <c r="J18" s="416">
        <f>[24]Brewhouse!$AT123</f>
        <v>99.694466400675665</v>
      </c>
      <c r="K18" s="398">
        <f>[24]Brewhouse!$Q123</f>
        <v>9.0740740740740726</v>
      </c>
      <c r="L18" s="276">
        <f>[24]Brewhouse!$P123</f>
        <v>72</v>
      </c>
      <c r="M18" s="374">
        <f>[24]Brewhouse!$U123-[24]Brewhouse!$T123</f>
        <v>-0.8319444444444446</v>
      </c>
      <c r="N18" s="370">
        <f>[24]Brewhouse!$AW123</f>
        <v>-0.67638888888888893</v>
      </c>
      <c r="O18" s="417" t="str">
        <f>[24]Brewhouse!$AV123</f>
        <v>K. Benjamin</v>
      </c>
      <c r="P18" s="441"/>
      <c r="Q18" s="347"/>
      <c r="S18" s="277" t="str">
        <f t="shared" ref="S18:S22" si="18">B18</f>
        <v>STAG</v>
      </c>
      <c r="T18" s="296">
        <f t="shared" si="10"/>
        <v>11.6</v>
      </c>
      <c r="U18" s="296">
        <f t="shared" si="11"/>
        <v>12</v>
      </c>
      <c r="V18" s="297">
        <f t="shared" si="12"/>
        <v>0</v>
      </c>
      <c r="W18" s="297">
        <f t="shared" si="13"/>
        <v>0.118055555555556</v>
      </c>
      <c r="X18" s="297">
        <f t="shared" si="14"/>
        <v>0.22569444444444445</v>
      </c>
      <c r="Y18" s="297">
        <f t="shared" si="15"/>
        <v>0.2638888888888889</v>
      </c>
      <c r="Z18" s="297">
        <f t="shared" si="16"/>
        <v>0</v>
      </c>
      <c r="AA18" s="296">
        <f t="shared" si="17"/>
        <v>60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1"/>
      <c r="Q19" s="347"/>
      <c r="S19" s="277">
        <f t="shared" si="18"/>
        <v>0</v>
      </c>
      <c r="T19" s="296" t="e">
        <f t="shared" si="10"/>
        <v>#N/A</v>
      </c>
      <c r="U19" s="296" t="e">
        <f t="shared" si="11"/>
        <v>#N/A</v>
      </c>
      <c r="V19" s="297" t="e">
        <f t="shared" si="12"/>
        <v>#N/A</v>
      </c>
      <c r="W19" s="297" t="e">
        <f t="shared" si="13"/>
        <v>#N/A</v>
      </c>
      <c r="X19" s="297" t="e">
        <f t="shared" si="14"/>
        <v>#N/A</v>
      </c>
      <c r="Y19" s="297" t="e">
        <f t="shared" si="15"/>
        <v>#N/A</v>
      </c>
      <c r="Z19" s="297" t="e">
        <f t="shared" si="16"/>
        <v>#N/A</v>
      </c>
      <c r="AA19" s="296" t="e">
        <f t="shared" si="17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si="18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4.4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369"/>
      <c r="Q21" s="347"/>
      <c r="S21" s="277">
        <f t="shared" si="18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481" t="s">
        <v>34</v>
      </c>
      <c r="J22" s="481"/>
      <c r="K22" s="481"/>
      <c r="L22" s="481"/>
      <c r="M22" s="481"/>
      <c r="N22" s="481"/>
      <c r="O22" s="1"/>
      <c r="P22" s="12"/>
      <c r="S22" s="277">
        <f t="shared" si="18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1:27" ht="15" thickBot="1">
      <c r="B23" s="388" t="s">
        <v>145</v>
      </c>
      <c r="C23" s="388"/>
      <c r="D23" s="459" t="s">
        <v>35</v>
      </c>
      <c r="E23" s="460"/>
      <c r="F23" s="294"/>
      <c r="G23" s="294"/>
      <c r="H23" s="24" t="s">
        <v>17</v>
      </c>
      <c r="I23" s="25" t="s">
        <v>188</v>
      </c>
      <c r="J23" s="25" t="s">
        <v>189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S23" s="277" t="str">
        <f t="shared" si="9"/>
        <v>BRAND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1:27" ht="15" customHeight="1">
      <c r="A24" s="28"/>
      <c r="B24" s="535" t="s">
        <v>6</v>
      </c>
      <c r="C24" s="362" cm="1">
        <f t="array" ref="C24:C25">[23]Process!$D$225:$D$226</f>
        <v>12.2</v>
      </c>
      <c r="D24" s="485">
        <v>11.73</v>
      </c>
      <c r="E24" s="486"/>
      <c r="F24" s="294"/>
      <c r="G24" s="294"/>
      <c r="H24" s="29" t="s">
        <v>6</v>
      </c>
      <c r="I24" s="280">
        <f>AVERAGE(I10:I12)</f>
        <v>101.26755124497345</v>
      </c>
      <c r="K24" s="284">
        <f>COUNTA([23]Brewhouse!$A$255:$A$295)</f>
        <v>41</v>
      </c>
      <c r="L24" s="302">
        <f>AVERAGE([23]Brewhouse!$AU$255:$AU$295)</f>
        <v>98.894935350126261</v>
      </c>
      <c r="M24" s="302">
        <f>AVERAGE([23]Brewhouse!$AU$102:$AU$171,[23]Brewhouse!$AU$173:$AU$253,[23]Brewhouse!$AU$255:$AU$295)</f>
        <v>96.309156263451214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533"/>
      <c r="C25" s="349">
        <v>12</v>
      </c>
      <c r="D25" s="487"/>
      <c r="E25" s="488"/>
      <c r="F25" s="294"/>
      <c r="G25" s="294"/>
      <c r="H25" s="33" t="s">
        <v>9</v>
      </c>
      <c r="I25" s="280"/>
      <c r="J25" s="280">
        <f>AVERAGE(I16:I18)</f>
        <v>100.91269949637497</v>
      </c>
      <c r="K25" s="284">
        <f>COUNTA([24]Brewhouse!$A$105:$A$123)</f>
        <v>19</v>
      </c>
      <c r="L25" s="302">
        <f>AVERAGE([24]Brewhouse!$AS$105:$AS$123)</f>
        <v>98.760427429017483</v>
      </c>
      <c r="M25" s="302">
        <f>AVERAGE([24]Brewhouse!$AS$15:$AS$64,[24]Brewhouse!$AS$66:$AS$103,[24]Brewhouse!$AS$105:$AS$123)</f>
        <v>96.397972830378436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4.7" customHeight="1">
      <c r="A26" s="28"/>
      <c r="B26" s="533"/>
      <c r="C26" s="349" cm="1">
        <f t="array" ref="C26:C27">[23]Process!$D$231:$D$232</f>
        <v>11.9</v>
      </c>
      <c r="D26" s="485">
        <v>11.89</v>
      </c>
      <c r="E26" s="486"/>
      <c r="F26" s="294"/>
      <c r="G26" s="294"/>
      <c r="H26" s="34" t="s">
        <v>12</v>
      </c>
      <c r="I26" s="323"/>
      <c r="J26" s="280"/>
      <c r="K26" s="284">
        <f>COUNTA([25]Brewhouse!$A$24:$A$31)</f>
        <v>8</v>
      </c>
      <c r="L26" s="302">
        <f>AVERAGE([25]Brewhouse!$AU$24:$AU$31)</f>
        <v>98.193576760694924</v>
      </c>
      <c r="M26" s="302">
        <f>AVERAGE([25]Brewhouse!$AU$4:$AU$7,[25]Brewhouse!$AU$9:$AU$22,[25]Brewhouse!$AU$24:$AU$31)</f>
        <v>96.826546264179598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533"/>
      <c r="C27" s="349">
        <v>11.7</v>
      </c>
      <c r="D27" s="487"/>
      <c r="E27" s="488"/>
      <c r="F27" s="294"/>
      <c r="G27" s="294"/>
      <c r="H27" s="22" t="s">
        <v>33</v>
      </c>
      <c r="I27" s="280"/>
      <c r="J27" s="280"/>
      <c r="K27" s="284"/>
      <c r="L27" s="302"/>
      <c r="M27" s="302">
        <f>AVERAGE([26]Brewhouse!$AV$5:$AV$14,[26]Brewhouse!$AV$16:$AV$19)</f>
        <v>98.230957815544443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/>
      <c r="D28" s="485"/>
      <c r="E28" s="486"/>
      <c r="F28" s="294"/>
      <c r="G28" s="294"/>
      <c r="H28" s="35" t="s">
        <v>29</v>
      </c>
      <c r="I28" s="280"/>
      <c r="J28" s="280"/>
      <c r="K28" s="284"/>
      <c r="L28" s="302"/>
      <c r="M28" s="302"/>
      <c r="N28" s="30">
        <v>98</v>
      </c>
      <c r="O28" s="11"/>
      <c r="P28" s="31"/>
      <c r="S28" s="23"/>
    </row>
    <row r="29" spans="1:27" ht="14.7" customHeight="1">
      <c r="A29" s="28"/>
      <c r="B29" s="533"/>
      <c r="C29" s="349"/>
      <c r="D29" s="487"/>
      <c r="E29" s="488"/>
      <c r="F29" s="294"/>
      <c r="G29" s="294"/>
      <c r="H29" s="36" t="s">
        <v>15</v>
      </c>
      <c r="I29" s="323"/>
      <c r="J29" s="323"/>
      <c r="K29" s="284"/>
      <c r="L29" s="302"/>
      <c r="M29" s="302">
        <f>AVERAGE([27]Brewhouse!$AT$4:$AT$11)</f>
        <v>94.812616598822359</v>
      </c>
      <c r="N29" s="30">
        <v>98</v>
      </c>
      <c r="O29" s="11"/>
      <c r="P29" s="31"/>
      <c r="S29" s="23"/>
    </row>
    <row r="30" spans="1:27" ht="14.7" customHeight="1">
      <c r="A30" s="28"/>
      <c r="B30" s="533"/>
      <c r="C30" s="349"/>
      <c r="D30" s="485"/>
      <c r="E30" s="486"/>
      <c r="F30" s="294"/>
      <c r="G30" s="294"/>
      <c r="H30" s="37" t="s">
        <v>16</v>
      </c>
      <c r="I30" s="323"/>
      <c r="J30" s="323"/>
      <c r="K30" s="284">
        <f>COUNTA([22]Brewhouse!$A$22:$A$29)</f>
        <v>8</v>
      </c>
      <c r="L30" s="302">
        <f>AVERAGE([22]Brewhouse!$AY$22:$AY$29)</f>
        <v>98.065834237903474</v>
      </c>
      <c r="M30" s="302">
        <f>AVERAGE([22]Brewhouse!$AY$6:$AY$13,[22]Brewhouse!$AY$15:$AY$20,[22]Brewhouse!$AY$22:$AY$29)</f>
        <v>95.660462473217876</v>
      </c>
      <c r="N30" s="30">
        <v>98</v>
      </c>
      <c r="O30" s="11"/>
      <c r="P30" s="31" t="s">
        <v>41</v>
      </c>
      <c r="S30" s="23"/>
      <c r="X30" s="275" t="s">
        <v>41</v>
      </c>
    </row>
    <row r="31" spans="1:27" ht="14.7" customHeight="1">
      <c r="A31" s="28"/>
      <c r="B31" s="533"/>
      <c r="C31" s="349"/>
      <c r="D31" s="487"/>
      <c r="E31" s="488"/>
      <c r="F31" s="294"/>
      <c r="G31" s="294"/>
      <c r="H31" s="415" t="s">
        <v>158</v>
      </c>
      <c r="I31" s="326"/>
      <c r="J31" s="326"/>
      <c r="K31" s="284"/>
      <c r="L31" s="305"/>
      <c r="M31" s="305">
        <f>AVERAGE([28]Brewhouse!$AU$5:$AU$8)</f>
        <v>91.006888337619571</v>
      </c>
      <c r="N31" s="30">
        <v>98</v>
      </c>
      <c r="O31" s="11"/>
      <c r="P31" s="31"/>
      <c r="S31" s="23"/>
    </row>
    <row r="32" spans="1:27" ht="14.7" customHeight="1">
      <c r="A32" s="28"/>
      <c r="B32" s="533"/>
      <c r="C32" s="349"/>
      <c r="D32" s="485"/>
      <c r="E32" s="486"/>
      <c r="F32" s="294"/>
      <c r="G32" s="294"/>
      <c r="H32" s="414" t="s">
        <v>157</v>
      </c>
      <c r="I32" s="326"/>
      <c r="J32" s="326"/>
      <c r="K32" s="284"/>
      <c r="L32" s="305"/>
      <c r="M32" s="305"/>
      <c r="N32" s="30">
        <v>98</v>
      </c>
      <c r="O32" s="11"/>
      <c r="P32" s="31"/>
      <c r="S32" s="23"/>
    </row>
    <row r="33" spans="1:57" ht="15" customHeight="1" thickBot="1">
      <c r="A33" s="28"/>
      <c r="B33" s="533"/>
      <c r="C33" s="349"/>
      <c r="D33" s="487"/>
      <c r="E33" s="488"/>
      <c r="F33" s="294"/>
      <c r="G33" s="294"/>
      <c r="H33" s="410" t="s">
        <v>156</v>
      </c>
      <c r="I33" s="327"/>
      <c r="J33" s="327"/>
      <c r="K33" s="411"/>
      <c r="L33" s="412"/>
      <c r="M33" s="412"/>
      <c r="N33" s="413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5"/>
      <c r="E34" s="486"/>
      <c r="F34" s="294"/>
      <c r="G34" s="294"/>
      <c r="H34" s="32"/>
      <c r="I34" s="1"/>
      <c r="J34" s="39"/>
      <c r="K34" s="408">
        <f>SUM(K24:K33)</f>
        <v>76</v>
      </c>
      <c r="L34" s="409">
        <f>((L24*K24)+(L25*K25)+(L26*K26)+(L27*K27)+(L28*K28)+(K31*L31)+(L29*K29)+(L30*K30)+(L33*K33))/(K34)</f>
        <v>98.700207348622314</v>
      </c>
      <c r="M34" s="409">
        <f>AVERAGE('[29]Jan 31st'!$L$65,'[30]Feb 28th'!$L$35,L34)</f>
        <v>96.714394592007125</v>
      </c>
      <c r="N34" s="40">
        <v>98</v>
      </c>
      <c r="O34" s="11"/>
      <c r="P34" s="31"/>
      <c r="S34" s="23"/>
    </row>
    <row r="35" spans="1:57" ht="15" thickBot="1">
      <c r="B35" s="534"/>
      <c r="C35" s="350"/>
      <c r="D35" s="487"/>
      <c r="E35" s="488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S35" s="23"/>
    </row>
    <row r="36" spans="1:57" ht="15" thickBot="1">
      <c r="B36" s="547"/>
      <c r="C36" s="362"/>
      <c r="D36" s="498"/>
      <c r="E36" s="499"/>
      <c r="F36" s="43"/>
      <c r="G36" s="41"/>
      <c r="H36" s="41"/>
      <c r="I36" s="42"/>
      <c r="J36" s="501" t="s">
        <v>129</v>
      </c>
      <c r="K36" s="501"/>
      <c r="L36" s="294"/>
      <c r="M36" s="294"/>
      <c r="N36" s="294"/>
      <c r="O36" s="294"/>
      <c r="P36" s="12"/>
      <c r="S36" s="23" t="s">
        <v>41</v>
      </c>
    </row>
    <row r="37" spans="1:57" ht="13.5" customHeight="1" thickBot="1">
      <c r="B37" s="483"/>
      <c r="C37" s="349"/>
      <c r="D37" s="500"/>
      <c r="E37" s="488"/>
      <c r="F37" s="43"/>
      <c r="G37" s="41"/>
      <c r="H37" s="41"/>
      <c r="I37" s="418" t="s">
        <v>17</v>
      </c>
      <c r="J37" s="293" t="s">
        <v>190</v>
      </c>
      <c r="K37" s="293" t="s">
        <v>191</v>
      </c>
      <c r="L37" s="502" t="s">
        <v>136</v>
      </c>
      <c r="M37" s="502"/>
      <c r="N37" s="503"/>
      <c r="O37" s="294"/>
      <c r="P37" s="12"/>
      <c r="S37" s="23"/>
    </row>
    <row r="38" spans="1:57" ht="15" customHeight="1" thickBot="1">
      <c r="B38" s="483"/>
      <c r="C38" s="349"/>
      <c r="D38" s="504"/>
      <c r="E38" s="486"/>
      <c r="F38" s="43"/>
      <c r="G38" s="41"/>
      <c r="H38" s="41"/>
      <c r="I38" s="419" t="s">
        <v>6</v>
      </c>
      <c r="J38" s="324">
        <f>COUNTA(B10:B12)</f>
        <v>3</v>
      </c>
      <c r="K38" s="324"/>
      <c r="L38" s="343" t="s">
        <v>37</v>
      </c>
      <c r="M38" s="307" t="s">
        <v>38</v>
      </c>
      <c r="N38" s="307" t="s">
        <v>84</v>
      </c>
      <c r="O38" s="294"/>
      <c r="P38" s="12"/>
      <c r="S38" s="23"/>
    </row>
    <row r="39" spans="1:57" ht="15.75" customHeight="1" thickBot="1">
      <c r="B39" s="483"/>
      <c r="C39" s="349"/>
      <c r="D39" s="500"/>
      <c r="E39" s="488"/>
      <c r="F39" s="43"/>
      <c r="G39" s="41"/>
      <c r="H39" s="41"/>
      <c r="I39" s="420" t="s">
        <v>9</v>
      </c>
      <c r="J39" s="324"/>
      <c r="K39" s="324">
        <f>COUNTA(B16:B18)</f>
        <v>3</v>
      </c>
      <c r="L39" s="344">
        <f>AVERAGE('Mar. 3rd'!K80,'Mar. 4th'!K81,'Mar. 5th '!K50,'Mar. 6th'!K50,'Mar. 7th &amp; 8th'!J52:K52,'Mar. 10th'!K49,'Mar. 11th'!K49,'Mar. 12th'!K47,'Mar. 13th'!K49,'Mar. 14th &amp; 16th'!K48,'Mar. 14th &amp; 16th'!J48)</f>
        <v>6.25</v>
      </c>
      <c r="M39" s="325">
        <f>AVERAGE('[29]Jan 29th '!$M$70,'[30]Feb 28th'!$L$40,L39)</f>
        <v>6.5869963369963367</v>
      </c>
      <c r="N39" s="400">
        <v>10</v>
      </c>
      <c r="O39" s="294"/>
      <c r="P39" s="12"/>
      <c r="S39" s="23"/>
    </row>
    <row r="40" spans="1:57" ht="15" customHeight="1">
      <c r="B40" s="483"/>
      <c r="C40" s="349"/>
      <c r="D40" s="504"/>
      <c r="E40" s="486"/>
      <c r="F40" s="43"/>
      <c r="G40" s="41"/>
      <c r="H40" s="41"/>
      <c r="I40" s="421" t="s">
        <v>40</v>
      </c>
      <c r="J40" s="324"/>
      <c r="K40" s="324"/>
      <c r="L40" s="294"/>
      <c r="M40" s="294"/>
      <c r="N40" s="294"/>
      <c r="O40" s="294"/>
      <c r="P40" s="12"/>
      <c r="S40" s="23"/>
    </row>
    <row r="41" spans="1:57" ht="15" customHeight="1">
      <c r="B41" s="483"/>
      <c r="C41" s="349"/>
      <c r="D41" s="500"/>
      <c r="E41" s="488"/>
      <c r="F41" s="43"/>
      <c r="G41" s="41"/>
      <c r="H41" s="41"/>
      <c r="I41" s="422" t="s">
        <v>33</v>
      </c>
      <c r="J41" s="324"/>
      <c r="K41" s="324"/>
      <c r="L41" s="294"/>
      <c r="M41" s="294"/>
      <c r="N41" s="294"/>
      <c r="O41" s="294"/>
      <c r="P41" s="12"/>
      <c r="S41" s="23"/>
    </row>
    <row r="42" spans="1:57" ht="14.4">
      <c r="B42" s="483"/>
      <c r="C42" s="349"/>
      <c r="D42" s="504"/>
      <c r="E42" s="486"/>
      <c r="F42" s="43"/>
      <c r="G42" s="41"/>
      <c r="H42" s="41"/>
      <c r="I42" s="423" t="s">
        <v>16</v>
      </c>
      <c r="J42" s="324"/>
      <c r="K42" s="324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483"/>
      <c r="C43" s="349"/>
      <c r="D43" s="500"/>
      <c r="E43" s="488"/>
      <c r="F43" s="43"/>
      <c r="G43" s="41"/>
      <c r="H43" s="41"/>
      <c r="I43" s="424" t="s">
        <v>15</v>
      </c>
      <c r="J43" s="324"/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483"/>
      <c r="C44" s="349"/>
      <c r="D44" s="505"/>
      <c r="E44" s="490"/>
      <c r="F44" s="43"/>
      <c r="G44" s="41"/>
      <c r="H44" s="41"/>
      <c r="I44" s="424" t="s">
        <v>149</v>
      </c>
      <c r="J44" s="324"/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5" thickBot="1">
      <c r="B45" s="484"/>
      <c r="C45" s="350"/>
      <c r="D45" s="506"/>
      <c r="E45" s="507"/>
      <c r="F45" s="43"/>
      <c r="G45" s="41"/>
      <c r="H45" s="41"/>
      <c r="I45" s="424" t="s">
        <v>148</v>
      </c>
      <c r="J45" s="324"/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 thickBot="1">
      <c r="B46" s="312" t="s">
        <v>139</v>
      </c>
      <c r="C46" s="313"/>
      <c r="D46" s="508">
        <f>AVERAGE(D24:E45)</f>
        <v>11.81</v>
      </c>
      <c r="E46" s="509"/>
      <c r="F46" s="43"/>
      <c r="G46" s="41"/>
      <c r="H46" s="41"/>
      <c r="I46" s="425" t="s">
        <v>134</v>
      </c>
      <c r="J46" s="324"/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>
      <c r="B47" s="363"/>
      <c r="C47" s="364"/>
      <c r="D47" s="365"/>
      <c r="E47" s="365"/>
      <c r="F47" s="43"/>
      <c r="G47" s="41"/>
      <c r="H47" s="41"/>
      <c r="I47" s="425" t="s">
        <v>131</v>
      </c>
      <c r="J47" s="324"/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5.75" customHeight="1">
      <c r="B48" s="45"/>
      <c r="C48" s="11"/>
      <c r="D48" s="11"/>
      <c r="E48" s="46"/>
      <c r="F48" s="23"/>
      <c r="G48" s="11"/>
      <c r="H48" s="41"/>
      <c r="I48" s="426" t="s">
        <v>130</v>
      </c>
      <c r="J48" s="324">
        <f>SUM(J38:J47)</f>
        <v>3</v>
      </c>
      <c r="K48" s="324">
        <f>SUM(K38:K47)</f>
        <v>3</v>
      </c>
      <c r="L48" s="294"/>
      <c r="M48" s="294"/>
      <c r="N48" s="294"/>
      <c r="O48" s="294"/>
      <c r="P48" s="12"/>
    </row>
    <row r="49" spans="2:58" ht="20.25" customHeight="1">
      <c r="B49" s="15" t="s">
        <v>42</v>
      </c>
      <c r="C49" s="1" t="s">
        <v>43</v>
      </c>
      <c r="D49" s="1"/>
      <c r="E49" s="1"/>
      <c r="I49" s="42"/>
      <c r="L49" s="294"/>
      <c r="P49" s="334"/>
    </row>
    <row r="50" spans="2:58" ht="15" customHeight="1" thickBo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48"/>
      <c r="P50" s="49"/>
      <c r="X50" s="275" t="s">
        <v>41</v>
      </c>
    </row>
    <row r="51" spans="2:58" ht="15" customHeight="1" thickBot="1">
      <c r="B51" s="510" t="s">
        <v>17</v>
      </c>
      <c r="C51" s="510" t="s">
        <v>44</v>
      </c>
      <c r="D51" s="512" t="s">
        <v>45</v>
      </c>
      <c r="E51" s="467" t="s">
        <v>46</v>
      </c>
      <c r="F51" s="527" t="s">
        <v>47</v>
      </c>
      <c r="G51" s="521" t="s">
        <v>48</v>
      </c>
      <c r="H51" s="510" t="s">
        <v>49</v>
      </c>
      <c r="I51" s="510" t="s">
        <v>50</v>
      </c>
      <c r="J51" s="515" t="s">
        <v>28</v>
      </c>
      <c r="K51" s="465" t="s">
        <v>51</v>
      </c>
      <c r="L51" s="477" t="s">
        <v>52</v>
      </c>
      <c r="M51" s="515" t="s">
        <v>53</v>
      </c>
      <c r="N51" s="77"/>
      <c r="O51" s="13"/>
      <c r="P51" s="50"/>
    </row>
    <row r="52" spans="2:58" ht="28.5" customHeight="1" thickTop="1" thickBot="1">
      <c r="B52" s="511"/>
      <c r="C52" s="511"/>
      <c r="D52" s="513"/>
      <c r="E52" s="514"/>
      <c r="F52" s="528"/>
      <c r="G52" s="522"/>
      <c r="H52" s="511"/>
      <c r="I52" s="511"/>
      <c r="J52" s="516"/>
      <c r="K52" s="525"/>
      <c r="L52" s="526"/>
      <c r="M52" s="516"/>
      <c r="N52" s="77"/>
      <c r="O52" s="13"/>
      <c r="P52" s="50"/>
      <c r="Q52" s="355"/>
      <c r="R52" s="355"/>
      <c r="S52" s="355"/>
      <c r="T52" s="355"/>
      <c r="U52" s="51">
        <v>43466</v>
      </c>
      <c r="V52" s="51">
        <v>43467</v>
      </c>
      <c r="W52" s="51">
        <v>43468</v>
      </c>
      <c r="X52" s="51">
        <v>43469</v>
      </c>
      <c r="Y52" s="51">
        <v>43470</v>
      </c>
      <c r="Z52" s="51">
        <v>43471</v>
      </c>
      <c r="AA52" s="51">
        <v>43472</v>
      </c>
      <c r="AB52" s="51">
        <v>43473</v>
      </c>
      <c r="AC52" s="51">
        <v>43474</v>
      </c>
      <c r="AD52" s="51">
        <v>43475</v>
      </c>
      <c r="AE52" s="51">
        <v>43476</v>
      </c>
      <c r="AF52" s="51">
        <v>43477</v>
      </c>
      <c r="AG52" s="51">
        <v>43478</v>
      </c>
      <c r="AH52" s="51">
        <v>43479</v>
      </c>
      <c r="AI52" s="51">
        <v>43480</v>
      </c>
      <c r="AJ52" s="51">
        <v>43481</v>
      </c>
      <c r="AK52" s="51">
        <v>43482</v>
      </c>
      <c r="AL52" s="51">
        <v>43483</v>
      </c>
      <c r="AM52" s="51">
        <v>43484</v>
      </c>
      <c r="AN52" s="51">
        <v>43485</v>
      </c>
      <c r="AO52" s="51">
        <v>43486</v>
      </c>
      <c r="AP52" s="51">
        <v>43487</v>
      </c>
      <c r="AQ52" s="51">
        <v>43488</v>
      </c>
      <c r="AR52" s="51">
        <v>43489</v>
      </c>
      <c r="AS52" s="51">
        <v>43490</v>
      </c>
      <c r="AT52" s="51">
        <v>43491</v>
      </c>
      <c r="AU52" s="51">
        <v>43492</v>
      </c>
      <c r="AV52" s="51">
        <v>43493</v>
      </c>
      <c r="AW52" s="51">
        <v>43494</v>
      </c>
      <c r="AX52" s="51">
        <v>43495</v>
      </c>
      <c r="AY52" s="51">
        <v>43496</v>
      </c>
    </row>
    <row r="53" spans="2:58" s="54" customFormat="1" ht="56.4" customHeight="1" thickBot="1">
      <c r="B53" s="430" t="str">
        <f>H24</f>
        <v>CARIB</v>
      </c>
      <c r="C53" s="283">
        <v>45730</v>
      </c>
      <c r="D53" s="377">
        <f>[31]March_2025!$Q$3</f>
        <v>211.3</v>
      </c>
      <c r="E53" s="378"/>
      <c r="F53" s="379">
        <f>SUM([32]CARIB!$L$22:$L$23,[32]CARIB!$L$28:$L$29)</f>
        <v>204.46</v>
      </c>
      <c r="G53" s="303">
        <f>[31]March_2025!$Q$7</f>
        <v>193.3</v>
      </c>
      <c r="H53" s="320">
        <f>(D53-F53)/D53*100</f>
        <v>3.2371036441079046</v>
      </c>
      <c r="I53" s="322">
        <f>((F53+E53)-G53)/(F53+E53)*100</f>
        <v>5.4582803482343714</v>
      </c>
      <c r="J53" s="390" t="s">
        <v>168</v>
      </c>
      <c r="K53" s="433">
        <f>[33]March_2025!$Q$18</f>
        <v>0.96650000000000003</v>
      </c>
      <c r="L53" s="314">
        <f>(((D53+E53)-G53)/(D53+E53))*100</f>
        <v>8.5186938002839572</v>
      </c>
      <c r="M53" s="357" t="s">
        <v>184</v>
      </c>
      <c r="N53" s="13"/>
      <c r="O53" s="13"/>
      <c r="P53" s="50"/>
      <c r="T53" s="272" t="s">
        <v>54</v>
      </c>
      <c r="U53" s="279"/>
      <c r="V53" s="279"/>
      <c r="W53" s="279"/>
      <c r="X53" s="279"/>
      <c r="Y53" s="279"/>
      <c r="Z53" s="279"/>
      <c r="AA53" s="279"/>
      <c r="AB53" s="279"/>
      <c r="AC53" s="279"/>
      <c r="AD53" s="279"/>
      <c r="AE53" s="279"/>
      <c r="AF53" s="279"/>
      <c r="AG53" s="279"/>
      <c r="AH53" s="279"/>
      <c r="AI53" s="279"/>
      <c r="AJ53" s="279"/>
      <c r="AK53" s="279"/>
      <c r="AL53" s="279"/>
      <c r="AM53" s="279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  <c r="AX53" s="279"/>
    </row>
    <row r="54" spans="2:58" s="54" customFormat="1" ht="18.75" hidden="1" customHeight="1">
      <c r="B54" s="387"/>
      <c r="C54" s="283"/>
      <c r="D54" s="279"/>
      <c r="E54" s="279"/>
      <c r="F54" s="279"/>
      <c r="G54" s="279"/>
      <c r="H54" s="320"/>
      <c r="I54" s="322"/>
      <c r="J54" s="389"/>
      <c r="K54" s="434"/>
      <c r="L54" s="314"/>
      <c r="M54" s="384"/>
      <c r="N54" s="13"/>
      <c r="O54" s="13"/>
      <c r="P54" s="50"/>
      <c r="T54" s="272" t="s">
        <v>51</v>
      </c>
      <c r="U54" s="57" t="e">
        <f>[20]January_2019!D8</f>
        <v>#DIV/0!</v>
      </c>
      <c r="V54" s="57">
        <f>[20]January_2019!E8</f>
        <v>1.0319298245614037</v>
      </c>
      <c r="W54" s="57">
        <f>[20]January_2019!F8</f>
        <v>1.7789473684210526</v>
      </c>
      <c r="X54" s="57">
        <f>[20]January_2019!G8</f>
        <v>0.51929824561403504</v>
      </c>
      <c r="Y54" s="57" t="e">
        <f>[20]January_2019!H8</f>
        <v>#DIV/0!</v>
      </c>
      <c r="Z54" s="57" t="e">
        <f>[20]January_2019!I8</f>
        <v>#DIV/0!</v>
      </c>
      <c r="AA54" s="57">
        <f>[20]January_2019!J8</f>
        <v>1.365263157894737</v>
      </c>
      <c r="AB54" s="57" t="e">
        <f>[20]January_2019!K8</f>
        <v>#DIV/0!</v>
      </c>
      <c r="AC54" s="57">
        <f>[20]January_2019!L8</f>
        <v>1.0028070175438597</v>
      </c>
      <c r="AD54" s="57">
        <f>[20]January_2019!M8</f>
        <v>1.7828070175438597</v>
      </c>
      <c r="AE54" s="57" t="e">
        <f>[20]January_2019!N8</f>
        <v>#DIV/0!</v>
      </c>
      <c r="AF54" s="57" t="e">
        <f>[20]January_2019!O8</f>
        <v>#DIV/0!</v>
      </c>
      <c r="AG54" s="57">
        <f>[20]January_2019!P8</f>
        <v>0.19222222222222221</v>
      </c>
      <c r="AH54" s="57">
        <f>[20]January_2019!Q8</f>
        <v>0.52219298245614032</v>
      </c>
      <c r="AI54" s="57">
        <f>[20]January_2019!R8</f>
        <v>0.42912280701754385</v>
      </c>
      <c r="AJ54" s="57" t="e">
        <f>[20]January_2019!S8</f>
        <v>#DIV/0!</v>
      </c>
      <c r="AK54" s="57">
        <f>[20]January_2019!T8</f>
        <v>1.0340350877192983</v>
      </c>
      <c r="AL54" s="57">
        <f>[20]January_2019!U8</f>
        <v>0.98421052631578942</v>
      </c>
      <c r="AM54" s="57" t="e">
        <f>[20]January_2019!V8</f>
        <v>#DIV/0!</v>
      </c>
      <c r="AN54" s="57" t="e">
        <f>[20]January_2019!W8</f>
        <v>#DIV/0!</v>
      </c>
      <c r="AO54" s="57">
        <f>[20]January_2019!X8</f>
        <v>0.66052631578947374</v>
      </c>
      <c r="AP54" s="57">
        <f>[20]January_2019!Y8</f>
        <v>1.0375438596491227</v>
      </c>
      <c r="AQ54" s="57">
        <f>[20]January_2019!Z8</f>
        <v>0.90456140350877201</v>
      </c>
      <c r="AR54" s="57">
        <f>[20]January_2019!AA8</f>
        <v>1.0217543859649123</v>
      </c>
      <c r="AS54" s="57">
        <f>[20]January_2019!AB8</f>
        <v>0.65614035087719302</v>
      </c>
      <c r="AT54" s="57" t="e">
        <f>[20]January_2019!AC8</f>
        <v>#DIV/0!</v>
      </c>
      <c r="AU54" s="57" t="e">
        <f>[20]January_2019!AD8</f>
        <v>#DIV/0!</v>
      </c>
      <c r="AV54" s="57">
        <f>[20]January_2019!AE8</f>
        <v>1.7021052631578948</v>
      </c>
      <c r="AW54" s="57">
        <f>[20]January_2019!AF8</f>
        <v>0.60192982456140354</v>
      </c>
      <c r="AX54" s="57">
        <f>[20]January_2019!AG8</f>
        <v>1.4870175438596491</v>
      </c>
      <c r="AY54" s="277" t="e">
        <f>[20]January_2019!AH8</f>
        <v>#DIV/0!</v>
      </c>
      <c r="AZ54" s="277"/>
      <c r="BA54" s="277"/>
      <c r="BB54" s="277"/>
      <c r="BC54" s="277"/>
      <c r="BD54" s="277"/>
      <c r="BE54" s="277"/>
      <c r="BF54" s="277"/>
    </row>
    <row r="55" spans="2:58" s="54" customFormat="1">
      <c r="B55" s="361"/>
      <c r="C55" s="283"/>
      <c r="D55" s="304"/>
      <c r="E55" s="279"/>
      <c r="F55" s="279"/>
      <c r="G55" s="279"/>
      <c r="H55" s="381"/>
      <c r="I55" s="382"/>
      <c r="J55" s="389"/>
      <c r="K55" s="376"/>
      <c r="L55" s="314"/>
      <c r="M55" s="354"/>
      <c r="N55" s="13"/>
      <c r="O55" s="13"/>
      <c r="P55" s="50"/>
      <c r="T55" s="272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277"/>
      <c r="AZ55" s="277"/>
      <c r="BA55" s="277"/>
      <c r="BB55" s="277"/>
      <c r="BC55" s="277"/>
      <c r="BD55" s="277"/>
      <c r="BE55" s="277"/>
      <c r="BF55" s="277"/>
    </row>
    <row r="56" spans="2:58" ht="11.4" customHeight="1" thickBot="1">
      <c r="B56" s="33"/>
      <c r="C56" s="310"/>
      <c r="D56" s="279"/>
      <c r="E56" s="279"/>
      <c r="F56" s="279"/>
      <c r="G56" s="279"/>
      <c r="H56" s="352"/>
      <c r="I56" s="353"/>
      <c r="J56" s="281"/>
      <c r="K56" s="52"/>
      <c r="L56" s="53"/>
      <c r="M56" s="55"/>
      <c r="N56" s="77"/>
      <c r="O56" s="13"/>
      <c r="P56" s="56"/>
    </row>
    <row r="57" spans="2:58" ht="14.4" thickBot="1">
      <c r="B57" s="58"/>
      <c r="C57" s="309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56"/>
      <c r="P57" s="60"/>
    </row>
    <row r="58" spans="2:58" ht="14.4" thickBot="1">
      <c r="B58" s="517" t="s">
        <v>55</v>
      </c>
      <c r="C58" s="518"/>
      <c r="D58" s="518"/>
      <c r="E58" s="518"/>
      <c r="F58" s="519"/>
      <c r="G58" s="517" t="s">
        <v>56</v>
      </c>
      <c r="H58" s="518"/>
      <c r="I58" s="518"/>
      <c r="J58" s="519"/>
      <c r="K58" s="517" t="s">
        <v>51</v>
      </c>
      <c r="L58" s="518"/>
      <c r="M58" s="518"/>
      <c r="N58" s="520"/>
      <c r="O58" s="56"/>
      <c r="P58" s="50"/>
    </row>
    <row r="59" spans="2:58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8">
      <c r="B60" s="29" t="s">
        <v>6</v>
      </c>
      <c r="C60" s="65">
        <f>L53</f>
        <v>8.5186938002839572</v>
      </c>
      <c r="D60" s="76">
        <v>7.6525944321003871</v>
      </c>
      <c r="E60" s="76">
        <v>7.1115511257453159</v>
      </c>
      <c r="F60" s="66">
        <v>4.8</v>
      </c>
      <c r="G60" s="65">
        <f>[31]March_2025!$Q$11</f>
        <v>9.6164694746805441</v>
      </c>
      <c r="H60" s="76">
        <v>8.0556472206112915</v>
      </c>
      <c r="I60" s="76">
        <v>7.5541467102730548</v>
      </c>
      <c r="J60" s="66">
        <v>4.8</v>
      </c>
      <c r="K60" s="67">
        <f>K53</f>
        <v>0.96650000000000003</v>
      </c>
      <c r="L60" s="194">
        <v>0.7589257636428437</v>
      </c>
      <c r="M60" s="194">
        <v>0.82448383178191487</v>
      </c>
      <c r="N60" s="68">
        <v>1</v>
      </c>
      <c r="O60" s="56"/>
      <c r="P60" s="69"/>
    </row>
    <row r="61" spans="2:58">
      <c r="B61" s="33" t="s">
        <v>9</v>
      </c>
      <c r="C61" s="65"/>
      <c r="D61" s="76">
        <v>9.1658488714426003</v>
      </c>
      <c r="E61" s="76">
        <v>7.0876447150717015</v>
      </c>
      <c r="F61" s="66">
        <v>4.8</v>
      </c>
      <c r="G61" s="65"/>
      <c r="H61" s="76">
        <v>10.247382050247399</v>
      </c>
      <c r="I61" s="76">
        <v>7.3196940127317216</v>
      </c>
      <c r="J61" s="66">
        <v>4.8</v>
      </c>
      <c r="K61" s="67"/>
      <c r="L61" s="194">
        <v>0.65280323620504388</v>
      </c>
      <c r="M61" s="194">
        <v>0.70201270374871705</v>
      </c>
      <c r="N61" s="68">
        <v>1</v>
      </c>
      <c r="P61" s="69"/>
    </row>
    <row r="62" spans="2:58">
      <c r="B62" s="34" t="s">
        <v>40</v>
      </c>
      <c r="C62" s="65"/>
      <c r="D62" s="76">
        <v>7.5445173383317687</v>
      </c>
      <c r="E62" s="76">
        <v>12.682396771189062</v>
      </c>
      <c r="F62" s="66">
        <v>5.5</v>
      </c>
      <c r="G62" s="65"/>
      <c r="H62" s="76">
        <v>8.3720217865482667</v>
      </c>
      <c r="I62" s="76">
        <v>14.322773542755614</v>
      </c>
      <c r="J62" s="66">
        <v>5.5</v>
      </c>
      <c r="K62" s="67"/>
      <c r="L62" s="194">
        <v>0.98650000000000004</v>
      </c>
      <c r="M62" s="194">
        <v>0.56862100456621001</v>
      </c>
      <c r="N62" s="68">
        <v>1</v>
      </c>
      <c r="P62" s="69"/>
    </row>
    <row r="63" spans="2:58">
      <c r="B63" s="22" t="s">
        <v>33</v>
      </c>
      <c r="C63" s="65"/>
      <c r="D63" s="76"/>
      <c r="E63" s="76">
        <v>3.9190537266638161</v>
      </c>
      <c r="F63" s="66">
        <v>3.3</v>
      </c>
      <c r="G63" s="65"/>
      <c r="H63" s="76"/>
      <c r="I63" s="76">
        <v>5.345661717473071</v>
      </c>
      <c r="J63" s="66">
        <v>3.3</v>
      </c>
      <c r="K63" s="67"/>
      <c r="L63" s="194"/>
      <c r="M63" s="194">
        <v>0.78853801169590654</v>
      </c>
      <c r="N63" s="68">
        <v>1</v>
      </c>
      <c r="P63" s="69"/>
    </row>
    <row r="64" spans="2:58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8.7664670658682695</v>
      </c>
      <c r="F65" s="70">
        <f>[21]May_2022!$M$43</f>
        <v>3.4878406700073312</v>
      </c>
      <c r="G65" s="282"/>
      <c r="H65" s="76"/>
      <c r="I65" s="76">
        <v>10.607235567685406</v>
      </c>
      <c r="J65" s="66">
        <v>5.5</v>
      </c>
      <c r="K65" s="67"/>
      <c r="L65" s="194"/>
      <c r="M65" s="194">
        <v>0.66824561403508764</v>
      </c>
      <c r="N65" s="68">
        <v>1</v>
      </c>
      <c r="P65" s="69"/>
    </row>
    <row r="66" spans="2:16">
      <c r="B66" s="37" t="s">
        <v>16</v>
      </c>
      <c r="C66" s="65"/>
      <c r="D66" s="76">
        <v>3.0622243998040313</v>
      </c>
      <c r="E66" s="76">
        <v>2.5618217399039276</v>
      </c>
      <c r="F66" s="66">
        <v>3.3</v>
      </c>
      <c r="G66" s="282"/>
      <c r="H66" s="76">
        <v>4.90230047253743</v>
      </c>
      <c r="I66" s="76">
        <v>4.6996399261015078</v>
      </c>
      <c r="J66" s="66">
        <v>3.3</v>
      </c>
      <c r="K66" s="67"/>
      <c r="L66" s="194">
        <v>0.98924999999999996</v>
      </c>
      <c r="M66" s="194">
        <v>0.86251968503937015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37" t="s">
        <v>165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7.2295494683049837</v>
      </c>
      <c r="E69" s="76">
        <v>7.1090542650039961</v>
      </c>
      <c r="F69" s="341">
        <v>4.5</v>
      </c>
      <c r="H69" s="76">
        <v>7.8183730265549336</v>
      </c>
      <c r="I69" s="76">
        <v>7.9058738815469765</v>
      </c>
      <c r="J69" s="341">
        <v>4.5</v>
      </c>
      <c r="L69" s="194">
        <v>0.79187620889748545</v>
      </c>
      <c r="M69" s="194">
        <v>0.75730176520033632</v>
      </c>
      <c r="N69" s="386">
        <v>1</v>
      </c>
    </row>
    <row r="73" spans="2:16">
      <c r="F73" s="315"/>
    </row>
    <row r="81" spans="30:30">
      <c r="AD81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D46:E46"/>
    <mergeCell ref="B51:B52"/>
    <mergeCell ref="C51:C52"/>
    <mergeCell ref="D51:D52"/>
    <mergeCell ref="E51:E52"/>
    <mergeCell ref="M51:M52"/>
    <mergeCell ref="B58:F58"/>
    <mergeCell ref="G58:J58"/>
    <mergeCell ref="K58:N58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708" priority="131" operator="notBetween">
      <formula>#REF!</formula>
      <formula>#REF!</formula>
    </cfRule>
  </conditionalFormatting>
  <conditionalFormatting sqref="C50">
    <cfRule type="cellIs" dxfId="1707" priority="163" stopIfTrue="1" operator="greaterThan">
      <formula>100</formula>
    </cfRule>
    <cfRule type="cellIs" dxfId="1706" priority="162" stopIfTrue="1" operator="lessThan">
      <formula>96</formula>
    </cfRule>
  </conditionalFormatting>
  <conditionalFormatting sqref="C60">
    <cfRule type="cellIs" dxfId="1705" priority="77" stopIfTrue="1" operator="greaterThan">
      <formula>$F60</formula>
    </cfRule>
  </conditionalFormatting>
  <conditionalFormatting sqref="C60:C61">
    <cfRule type="cellIs" dxfId="1704" priority="78" stopIfTrue="1" operator="lessThanOrEqual">
      <formula>0</formula>
    </cfRule>
  </conditionalFormatting>
  <conditionalFormatting sqref="C61">
    <cfRule type="cellIs" dxfId="1703" priority="166" stopIfTrue="1" operator="greaterThan">
      <formula>$F60</formula>
    </cfRule>
  </conditionalFormatting>
  <conditionalFormatting sqref="C62:C64">
    <cfRule type="cellIs" dxfId="1702" priority="102" stopIfTrue="1" operator="greaterThan">
      <formula>$F62</formula>
    </cfRule>
  </conditionalFormatting>
  <conditionalFormatting sqref="C62:C65">
    <cfRule type="cellIs" dxfId="1701" priority="110" stopIfTrue="1" operator="lessThanOrEqual">
      <formula>0</formula>
    </cfRule>
  </conditionalFormatting>
  <conditionalFormatting sqref="C65">
    <cfRule type="cellIs" dxfId="1700" priority="109" stopIfTrue="1" operator="greaterThan">
      <formula>$J65</formula>
    </cfRule>
  </conditionalFormatting>
  <conditionalFormatting sqref="C71:C75">
    <cfRule type="cellIs" dxfId="1699" priority="154" stopIfTrue="1" operator="lessThanOrEqual">
      <formula>0</formula>
    </cfRule>
  </conditionalFormatting>
  <conditionalFormatting sqref="C72:C75">
    <cfRule type="cellIs" dxfId="1698" priority="153" stopIfTrue="1" operator="greaterThan">
      <formula>$F$71</formula>
    </cfRule>
  </conditionalFormatting>
  <conditionalFormatting sqref="C77">
    <cfRule type="cellIs" dxfId="1697" priority="156" stopIfTrue="1" operator="lessThanOrEqual">
      <formula>0</formula>
    </cfRule>
    <cfRule type="cellIs" dxfId="1696" priority="155" stopIfTrue="1" operator="greaterThan">
      <formula>$F$71</formula>
    </cfRule>
  </conditionalFormatting>
  <conditionalFormatting sqref="C71:D71 D73:D79">
    <cfRule type="cellIs" dxfId="1695" priority="148" stopIfTrue="1" operator="greaterThan">
      <formula>4.5</formula>
    </cfRule>
  </conditionalFormatting>
  <conditionalFormatting sqref="D46:D47">
    <cfRule type="cellIs" dxfId="1694" priority="132" operator="notBetween">
      <formula>#REF!</formula>
      <formula>#REF!</formula>
    </cfRule>
  </conditionalFormatting>
  <conditionalFormatting sqref="D60:D67">
    <cfRule type="cellIs" dxfId="1693" priority="121" stopIfTrue="1" operator="lessThanOrEqual">
      <formula>0</formula>
    </cfRule>
  </conditionalFormatting>
  <conditionalFormatting sqref="D68">
    <cfRule type="cellIs" dxfId="1692" priority="120" stopIfTrue="1" operator="lessThanOrEqual">
      <formula>0</formula>
    </cfRule>
  </conditionalFormatting>
  <conditionalFormatting sqref="D71 D73:D79">
    <cfRule type="cellIs" dxfId="1691" priority="149" stopIfTrue="1" operator="lessThanOrEqual">
      <formula>0</formula>
    </cfRule>
  </conditionalFormatting>
  <conditionalFormatting sqref="D72">
    <cfRule type="cellIs" dxfId="1690" priority="140" stopIfTrue="1" operator="greaterThan">
      <formula>$F$71</formula>
    </cfRule>
    <cfRule type="cellIs" dxfId="1689" priority="141" stopIfTrue="1" operator="lessThanOrEqual">
      <formula>0</formula>
    </cfRule>
  </conditionalFormatting>
  <conditionalFormatting sqref="D60:E69">
    <cfRule type="cellIs" dxfId="1688" priority="62" stopIfTrue="1" operator="greaterThan">
      <formula>$F60</formula>
    </cfRule>
  </conditionalFormatting>
  <conditionalFormatting sqref="D69:E69">
    <cfRule type="cellIs" dxfId="1687" priority="63" stopIfTrue="1" operator="lessThanOrEqual">
      <formula>0</formula>
    </cfRule>
  </conditionalFormatting>
  <conditionalFormatting sqref="E10:E21">
    <cfRule type="cellIs" dxfId="1686" priority="53" operator="lessThan">
      <formula>48</formula>
    </cfRule>
  </conditionalFormatting>
  <conditionalFormatting sqref="E50">
    <cfRule type="cellIs" dxfId="1685" priority="143" stopIfTrue="1" operator="greaterThan">
      <formula>100</formula>
    </cfRule>
    <cfRule type="cellIs" dxfId="1684" priority="142" stopIfTrue="1" operator="lessThan">
      <formula>96.8</formula>
    </cfRule>
  </conditionalFormatting>
  <conditionalFormatting sqref="E60:E68">
    <cfRule type="cellIs" dxfId="1683" priority="114" stopIfTrue="1" operator="lessThanOrEqual">
      <formula>0</formula>
    </cfRule>
  </conditionalFormatting>
  <conditionalFormatting sqref="E71:E79">
    <cfRule type="cellIs" dxfId="1682" priority="134" stopIfTrue="1" operator="greaterThan">
      <formula>4.5</formula>
    </cfRule>
    <cfRule type="cellIs" dxfId="1681" priority="135" stopIfTrue="1" operator="lessThanOrEqual">
      <formula>0</formula>
    </cfRule>
  </conditionalFormatting>
  <conditionalFormatting sqref="E49:F50">
    <cfRule type="cellIs" dxfId="1680" priority="145" stopIfTrue="1" operator="greaterThan">
      <formula>100</formula>
    </cfRule>
    <cfRule type="cellIs" dxfId="1679" priority="144" stopIfTrue="1" operator="lessThan">
      <formula>96.5</formula>
    </cfRule>
  </conditionalFormatting>
  <conditionalFormatting sqref="F10:F20">
    <cfRule type="cellIs" dxfId="1678" priority="55" operator="greaterThan">
      <formula>60</formula>
    </cfRule>
  </conditionalFormatting>
  <conditionalFormatting sqref="F21">
    <cfRule type="cellIs" dxfId="1677" priority="266" operator="greaterThan">
      <formula>$AA21</formula>
    </cfRule>
    <cfRule type="cellIs" dxfId="1676" priority="267" operator="greaterThan">
      <formula>$AA57</formula>
    </cfRule>
  </conditionalFormatting>
  <conditionalFormatting sqref="F50">
    <cfRule type="cellIs" dxfId="1675" priority="161" stopIfTrue="1" operator="greaterThan">
      <formula>100</formula>
    </cfRule>
    <cfRule type="cellIs" dxfId="1674" priority="160" stopIfTrue="1" operator="lessThan">
      <formula>96.8</formula>
    </cfRule>
  </conditionalFormatting>
  <conditionalFormatting sqref="F69">
    <cfRule type="cellIs" dxfId="1673" priority="116" stopIfTrue="1" operator="lessThanOrEqual">
      <formula>0</formula>
    </cfRule>
    <cfRule type="cellIs" dxfId="1672" priority="115" stopIfTrue="1" operator="greaterThan">
      <formula>$F69</formula>
    </cfRule>
  </conditionalFormatting>
  <conditionalFormatting sqref="G60:G61 C66:C68">
    <cfRule type="cellIs" dxfId="1671" priority="123" stopIfTrue="1" operator="lessThanOrEqual">
      <formula>0</formula>
    </cfRule>
    <cfRule type="cellIs" dxfId="1670" priority="122" stopIfTrue="1" operator="greaterThan">
      <formula>$F60</formula>
    </cfRule>
  </conditionalFormatting>
  <conditionalFormatting sqref="G60:G61">
    <cfRule type="cellIs" dxfId="1669" priority="83" stopIfTrue="1" operator="greaterThan">
      <formula>$F60</formula>
    </cfRule>
    <cfRule type="cellIs" dxfId="1668" priority="84" stopIfTrue="1" operator="lessThanOrEqual">
      <formula>0</formula>
    </cfRule>
  </conditionalFormatting>
  <conditionalFormatting sqref="G62">
    <cfRule type="cellIs" dxfId="1667" priority="164" stopIfTrue="1" operator="greaterThan">
      <formula>$F61</formula>
    </cfRule>
    <cfRule type="cellIs" dxfId="1666" priority="165" stopIfTrue="1" operator="lessThanOrEqual">
      <formula>0</formula>
    </cfRule>
  </conditionalFormatting>
  <conditionalFormatting sqref="G63">
    <cfRule type="cellIs" dxfId="1665" priority="117" stopIfTrue="1" operator="greaterThan">
      <formula>$F63</formula>
    </cfRule>
    <cfRule type="cellIs" dxfId="1664" priority="118" stopIfTrue="1" operator="lessThanOrEqual">
      <formula>0</formula>
    </cfRule>
  </conditionalFormatting>
  <conditionalFormatting sqref="G64:G68">
    <cfRule type="cellIs" dxfId="1663" priority="125" stopIfTrue="1" operator="lessThanOrEqual">
      <formula>0</formula>
    </cfRule>
    <cfRule type="cellIs" dxfId="1662" priority="124" stopIfTrue="1" operator="greaterThan">
      <formula>$J64</formula>
    </cfRule>
  </conditionalFormatting>
  <conditionalFormatting sqref="G73:G78 C76 C78">
    <cfRule type="cellIs" dxfId="1661" priority="157" stopIfTrue="1" operator="greaterThan">
      <formula>4.5</formula>
    </cfRule>
    <cfRule type="cellIs" dxfId="1660" priority="158" stopIfTrue="1" operator="lessThanOrEqual">
      <formula>0</formula>
    </cfRule>
  </conditionalFormatting>
  <conditionalFormatting sqref="G10:H21">
    <cfRule type="expression" dxfId="1659" priority="11">
      <formula>IF(+(IF(G10&lt;#REF!,0,IF(G10&gt;#REF!,0,1)))=0,1)</formula>
    </cfRule>
  </conditionalFormatting>
  <conditionalFormatting sqref="G72:H72">
    <cfRule type="cellIs" dxfId="1658" priority="138" stopIfTrue="1" operator="greaterThan">
      <formula>$F$71</formula>
    </cfRule>
    <cfRule type="cellIs" dxfId="1657" priority="139" stopIfTrue="1" operator="lessThanOrEqual">
      <formula>0</formula>
    </cfRule>
  </conditionalFormatting>
  <conditionalFormatting sqref="H34:H48 G36:G47">
    <cfRule type="cellIs" dxfId="1656" priority="136" stopIfTrue="1" operator="greaterThan">
      <formula>0</formula>
    </cfRule>
  </conditionalFormatting>
  <conditionalFormatting sqref="H53">
    <cfRule type="cellIs" dxfId="1655" priority="29" stopIfTrue="1" operator="greaterThan">
      <formula>$F$34</formula>
    </cfRule>
    <cfRule type="cellIs" dxfId="1654" priority="28" stopIfTrue="1" operator="lessThanOrEqual">
      <formula>0</formula>
    </cfRule>
    <cfRule type="cellIs" dxfId="1653" priority="40" stopIfTrue="1" operator="lessThanOrEqual">
      <formula>0</formula>
    </cfRule>
    <cfRule type="cellIs" dxfId="1652" priority="39" stopIfTrue="1" operator="greaterThan">
      <formula>$F$35</formula>
    </cfRule>
    <cfRule type="cellIs" dxfId="1651" priority="38" stopIfTrue="1" operator="lessThanOrEqual">
      <formula>0</formula>
    </cfRule>
    <cfRule type="cellIs" dxfId="1650" priority="37" stopIfTrue="1" operator="greaterThan">
      <formula>$F$37</formula>
    </cfRule>
  </conditionalFormatting>
  <conditionalFormatting sqref="H54">
    <cfRule type="cellIs" dxfId="1649" priority="99" stopIfTrue="1" operator="lessThanOrEqual">
      <formula>0</formula>
    </cfRule>
    <cfRule type="cellIs" dxfId="1648" priority="101" stopIfTrue="1" operator="lessThanOrEqual">
      <formula>0</formula>
    </cfRule>
    <cfRule type="cellIs" dxfId="1647" priority="98" stopIfTrue="1" operator="greaterThan">
      <formula>$F$62</formula>
    </cfRule>
    <cfRule type="cellIs" dxfId="1646" priority="90" stopIfTrue="1" operator="greaterThan">
      <formula>$F$59</formula>
    </cfRule>
    <cfRule type="cellIs" dxfId="1645" priority="89" stopIfTrue="1" operator="lessThanOrEqual">
      <formula>0</formula>
    </cfRule>
    <cfRule type="cellIs" dxfId="1644" priority="100" stopIfTrue="1" operator="greaterThan">
      <formula>$F$60</formula>
    </cfRule>
  </conditionalFormatting>
  <conditionalFormatting sqref="H55">
    <cfRule type="cellIs" dxfId="1643" priority="66" stopIfTrue="1" operator="lessThanOrEqual">
      <formula>0</formula>
    </cfRule>
    <cfRule type="cellIs" dxfId="1642" priority="67" stopIfTrue="1" operator="greaterThan">
      <formula>#REF!</formula>
    </cfRule>
    <cfRule type="cellIs" dxfId="1641" priority="75" stopIfTrue="1" operator="greaterThan">
      <formula>#REF!</formula>
    </cfRule>
    <cfRule type="cellIs" dxfId="1640" priority="76" stopIfTrue="1" operator="lessThanOrEqual">
      <formula>0</formula>
    </cfRule>
  </conditionalFormatting>
  <conditionalFormatting sqref="H56">
    <cfRule type="cellIs" dxfId="1639" priority="128" stopIfTrue="1" operator="lessThanOrEqual">
      <formula>0</formula>
    </cfRule>
    <cfRule type="cellIs" dxfId="1638" priority="130" stopIfTrue="1" operator="lessThanOrEqual">
      <formula>0</formula>
    </cfRule>
    <cfRule type="cellIs" dxfId="1637" priority="129" stopIfTrue="1" operator="greaterThan">
      <formula>$F$55</formula>
    </cfRule>
    <cfRule type="cellIs" dxfId="1636" priority="127" stopIfTrue="1" operator="greaterThan">
      <formula>$F$57</formula>
    </cfRule>
  </conditionalFormatting>
  <conditionalFormatting sqref="H60:H67">
    <cfRule type="cellIs" dxfId="1635" priority="107" stopIfTrue="1" operator="greaterThan">
      <formula>$J60</formula>
    </cfRule>
    <cfRule type="cellIs" dxfId="1634" priority="108" stopIfTrue="1" operator="lessThanOrEqual">
      <formula>0</formula>
    </cfRule>
  </conditionalFormatting>
  <conditionalFormatting sqref="H68">
    <cfRule type="cellIs" dxfId="1633" priority="111" operator="greaterThan">
      <formula>5.3</formula>
    </cfRule>
  </conditionalFormatting>
  <conditionalFormatting sqref="H71 H73:H79">
    <cfRule type="cellIs" dxfId="1632" priority="151" stopIfTrue="1" operator="lessThanOrEqual">
      <formula>0</formula>
    </cfRule>
    <cfRule type="cellIs" dxfId="1631" priority="150" stopIfTrue="1" operator="greaterThan">
      <formula>4.5</formula>
    </cfRule>
  </conditionalFormatting>
  <conditionalFormatting sqref="H53:I53">
    <cfRule type="cellIs" dxfId="1630" priority="30" stopIfTrue="1" operator="lessThanOrEqual">
      <formula>0</formula>
    </cfRule>
    <cfRule type="cellIs" dxfId="1629" priority="27" stopIfTrue="1" operator="greaterThan">
      <formula>$F$36</formula>
    </cfRule>
  </conditionalFormatting>
  <conditionalFormatting sqref="H54:I54">
    <cfRule type="cellIs" dxfId="1628" priority="88" stopIfTrue="1" operator="greaterThan">
      <formula>$F$61</formula>
    </cfRule>
    <cfRule type="cellIs" dxfId="1627" priority="91" stopIfTrue="1" operator="lessThanOrEqual">
      <formula>0</formula>
    </cfRule>
  </conditionalFormatting>
  <conditionalFormatting sqref="H55:I55">
    <cfRule type="cellIs" dxfId="1626" priority="74" stopIfTrue="1" operator="lessThanOrEqual">
      <formula>0</formula>
    </cfRule>
    <cfRule type="cellIs" dxfId="1625" priority="65" stopIfTrue="1" operator="greaterThan">
      <formula>#REF!</formula>
    </cfRule>
    <cfRule type="cellIs" dxfId="1624" priority="68" stopIfTrue="1" operator="lessThanOrEqual">
      <formula>0</formula>
    </cfRule>
    <cfRule type="cellIs" dxfId="1623" priority="71" stopIfTrue="1" operator="greaterThan">
      <formula>#REF!</formula>
    </cfRule>
  </conditionalFormatting>
  <conditionalFormatting sqref="H69:I69">
    <cfRule type="cellIs" dxfId="1622" priority="61" stopIfTrue="1" operator="lessThanOrEqual">
      <formula>0</formula>
    </cfRule>
    <cfRule type="cellIs" dxfId="1621" priority="60" stopIfTrue="1" operator="greaterThan">
      <formula>$J69</formula>
    </cfRule>
  </conditionalFormatting>
  <conditionalFormatting sqref="I21">
    <cfRule type="cellIs" dxfId="1620" priority="79" operator="lessThan">
      <formula>97.8</formula>
    </cfRule>
    <cfRule type="cellIs" dxfId="1619" priority="82" operator="lessThan">
      <formula>98</formula>
    </cfRule>
  </conditionalFormatting>
  <conditionalFormatting sqref="I24:I25 J25:J26 I27:J28">
    <cfRule type="cellIs" dxfId="1618" priority="3" operator="lessThan">
      <formula>97.4</formula>
    </cfRule>
  </conditionalFormatting>
  <conditionalFormatting sqref="I26">
    <cfRule type="cellIs" dxfId="1617" priority="2" operator="lessThan">
      <formula>98</formula>
    </cfRule>
  </conditionalFormatting>
  <conditionalFormatting sqref="I53">
    <cfRule type="cellIs" dxfId="1616" priority="34" stopIfTrue="1" operator="lessThanOrEqual">
      <formula>0</formula>
    </cfRule>
    <cfRule type="cellIs" dxfId="1615" priority="36" stopIfTrue="1" operator="lessThanOrEqual">
      <formula>0</formula>
    </cfRule>
    <cfRule type="cellIs" dxfId="1614" priority="35" stopIfTrue="1" operator="greaterThan">
      <formula>$F$34</formula>
    </cfRule>
    <cfRule type="cellIs" dxfId="1613" priority="33" stopIfTrue="1" operator="greaterThan">
      <formula>$F$36</formula>
    </cfRule>
    <cfRule type="cellIs" dxfId="1612" priority="32" stopIfTrue="1" operator="lessThanOrEqual">
      <formula>0</formula>
    </cfRule>
    <cfRule type="cellIs" dxfId="1611" priority="31" stopIfTrue="1" operator="greaterThan">
      <formula>$F$34</formula>
    </cfRule>
  </conditionalFormatting>
  <conditionalFormatting sqref="I54">
    <cfRule type="cellIs" dxfId="1610" priority="95" stopIfTrue="1" operator="lessThanOrEqual">
      <formula>0</formula>
    </cfRule>
    <cfRule type="cellIs" dxfId="1609" priority="96" stopIfTrue="1" operator="greaterThan">
      <formula>$F$59</formula>
    </cfRule>
    <cfRule type="cellIs" dxfId="1608" priority="93" stopIfTrue="1" operator="lessThanOrEqual">
      <formula>0</formula>
    </cfRule>
    <cfRule type="cellIs" dxfId="1607" priority="92" stopIfTrue="1" operator="greaterThan">
      <formula>$F$59</formula>
    </cfRule>
    <cfRule type="cellIs" dxfId="1606" priority="97" stopIfTrue="1" operator="lessThanOrEqual">
      <formula>0</formula>
    </cfRule>
    <cfRule type="cellIs" dxfId="1605" priority="94" stopIfTrue="1" operator="greaterThan">
      <formula>$F$61</formula>
    </cfRule>
  </conditionalFormatting>
  <conditionalFormatting sqref="I55">
    <cfRule type="cellIs" dxfId="1604" priority="73" stopIfTrue="1" operator="greaterThan">
      <formula>#REF!</formula>
    </cfRule>
    <cfRule type="cellIs" dxfId="1603" priority="69" stopIfTrue="1" operator="greaterThan">
      <formula>#REF!</formula>
    </cfRule>
    <cfRule type="cellIs" dxfId="1602" priority="70" stopIfTrue="1" operator="lessThanOrEqual">
      <formula>0</formula>
    </cfRule>
    <cfRule type="cellIs" dxfId="1601" priority="72" stopIfTrue="1" operator="lessThanOrEqual">
      <formula>0</formula>
    </cfRule>
  </conditionalFormatting>
  <conditionalFormatting sqref="I60:I68">
    <cfRule type="cellIs" dxfId="1600" priority="112" stopIfTrue="1" operator="greaterThan">
      <formula>$J60</formula>
    </cfRule>
    <cfRule type="cellIs" dxfId="1599" priority="113" stopIfTrue="1" operator="lessThanOrEqual">
      <formula>0</formula>
    </cfRule>
  </conditionalFormatting>
  <conditionalFormatting sqref="I71:I79">
    <cfRule type="cellIs" dxfId="1598" priority="146" stopIfTrue="1" operator="greaterThan">
      <formula>4.5</formula>
    </cfRule>
    <cfRule type="cellIs" dxfId="1597" priority="147" stopIfTrue="1" operator="lessThanOrEqual">
      <formula>0</formula>
    </cfRule>
  </conditionalFormatting>
  <conditionalFormatting sqref="I10:J20">
    <cfRule type="cellIs" dxfId="1596" priority="56" operator="lessThan">
      <formula>97.9</formula>
    </cfRule>
  </conditionalFormatting>
  <conditionalFormatting sqref="I29:J29">
    <cfRule type="cellIs" dxfId="1595" priority="7" operator="lessThan">
      <formula>98</formula>
    </cfRule>
  </conditionalFormatting>
  <conditionalFormatting sqref="I30:J32">
    <cfRule type="cellIs" dxfId="1594" priority="9" stopIfTrue="1" operator="greaterThan">
      <formula>100</formula>
    </cfRule>
    <cfRule type="cellIs" dxfId="1593" priority="8" stopIfTrue="1" operator="lessThan">
      <formula>96.8</formula>
    </cfRule>
  </conditionalFormatting>
  <conditionalFormatting sqref="I30:J33">
    <cfRule type="cellIs" dxfId="1592" priority="10" operator="lessThan">
      <formula>98</formula>
    </cfRule>
  </conditionalFormatting>
  <conditionalFormatting sqref="J21">
    <cfRule type="cellIs" dxfId="1591" priority="81" operator="lessThan">
      <formula>97.4</formula>
    </cfRule>
    <cfRule type="cellIs" dxfId="1590" priority="80" operator="notBetween">
      <formula>98</formula>
      <formula>99.9</formula>
    </cfRule>
  </conditionalFormatting>
  <conditionalFormatting sqref="J25:J26">
    <cfRule type="cellIs" dxfId="1589" priority="4" stopIfTrue="1" operator="lessThan">
      <formula>96.8</formula>
    </cfRule>
    <cfRule type="cellIs" dxfId="1588" priority="6" operator="lessThan">
      <formula>98</formula>
    </cfRule>
    <cfRule type="cellIs" dxfId="1587" priority="5" stopIfTrue="1" operator="greaterThan">
      <formula>100</formula>
    </cfRule>
  </conditionalFormatting>
  <conditionalFormatting sqref="J69">
    <cfRule type="cellIs" dxfId="1586" priority="58" stopIfTrue="1" operator="lessThanOrEqual">
      <formula>0</formula>
    </cfRule>
    <cfRule type="cellIs" dxfId="1585" priority="57" stopIfTrue="1" operator="greaterThan">
      <formula>$F69</formula>
    </cfRule>
  </conditionalFormatting>
  <conditionalFormatting sqref="J38:K47">
    <cfRule type="cellIs" dxfId="1584" priority="1" operator="notEqual">
      <formula>#REF!</formula>
    </cfRule>
  </conditionalFormatting>
  <conditionalFormatting sqref="K10:K21">
    <cfRule type="cellIs" dxfId="1583" priority="54" operator="greaterThan">
      <formula>6.4</formula>
    </cfRule>
    <cfRule type="cellIs" dxfId="1582" priority="50" operator="lessThan">
      <formula>4</formula>
    </cfRule>
    <cfRule type="cellIs" dxfId="1581" priority="49" operator="greaterThan">
      <formula>6</formula>
    </cfRule>
  </conditionalFormatting>
  <conditionalFormatting sqref="K53:K56 K60:N68">
    <cfRule type="cellIs" dxfId="1580" priority="126" stopIfTrue="1" operator="lessThan">
      <formula>100%</formula>
    </cfRule>
  </conditionalFormatting>
  <conditionalFormatting sqref="K71:K76">
    <cfRule type="cellIs" dxfId="1579" priority="152" stopIfTrue="1" operator="lessThan">
      <formula>100%</formula>
    </cfRule>
  </conditionalFormatting>
  <conditionalFormatting sqref="K78:K79">
    <cfRule type="cellIs" dxfId="1578" priority="159" stopIfTrue="1" operator="lessThan">
      <formula>100%</formula>
    </cfRule>
  </conditionalFormatting>
  <conditionalFormatting sqref="L10:L21">
    <cfRule type="cellIs" dxfId="1577" priority="52" operator="greaterThan">
      <formula>65</formula>
    </cfRule>
    <cfRule type="cellIs" dxfId="1576" priority="51" operator="between">
      <formula>61</formula>
      <formula>65</formula>
    </cfRule>
  </conditionalFormatting>
  <conditionalFormatting sqref="L24:M35">
    <cfRule type="cellIs" dxfId="1575" priority="64" operator="lessThan">
      <formula>98</formula>
    </cfRule>
  </conditionalFormatting>
  <conditionalFormatting sqref="L39:N39">
    <cfRule type="cellIs" dxfId="1574" priority="85" operator="notEqual">
      <formula>#REF!</formula>
    </cfRule>
  </conditionalFormatting>
  <conditionalFormatting sqref="L69:N69">
    <cfRule type="cellIs" dxfId="1573" priority="59" stopIfTrue="1" operator="lessThan">
      <formula>100%</formula>
    </cfRule>
  </conditionalFormatting>
  <conditionalFormatting sqref="L71:N79">
    <cfRule type="cellIs" dxfId="1572" priority="137" stopIfTrue="1" operator="lessThan">
      <formula>100%</formula>
    </cfRule>
  </conditionalFormatting>
  <conditionalFormatting sqref="M10:M21">
    <cfRule type="expression" dxfId="1571" priority="47">
      <formula>IF(+(IF(M10&lt;V10,0,IF(M10&gt;W10,0,1)))=0,1)</formula>
    </cfRule>
  </conditionalFormatting>
  <conditionalFormatting sqref="M6:N6">
    <cfRule type="cellIs" dxfId="1570" priority="86" operator="greaterThanOrEqual">
      <formula>15</formula>
    </cfRule>
    <cfRule type="cellIs" dxfId="1569" priority="87" operator="greaterThanOrEqual">
      <formula>19</formula>
    </cfRule>
  </conditionalFormatting>
  <conditionalFormatting sqref="N10:N21">
    <cfRule type="expression" dxfId="1568" priority="48">
      <formula>IF(+(IF(N10&lt;X10,0,IF(N10&gt;Y10,0,1)))=0,1)</formula>
    </cfRule>
  </conditionalFormatting>
  <conditionalFormatting sqref="N21">
    <cfRule type="expression" dxfId="1567" priority="167">
      <formula>IF(+(IF(N21&lt;X62,0,IF(N21&gt;Y62,0,1)))=0,1)</formula>
    </cfRule>
    <cfRule type="expression" dxfId="1566" priority="168">
      <formula>IF(+(IF(N21&lt;X57,0,IF(N21&gt;Y57,0,1)))=0,1)</formula>
    </cfRule>
  </conditionalFormatting>
  <conditionalFormatting sqref="P6">
    <cfRule type="cellIs" dxfId="1565" priority="133" operator="greaterThanOrEqual">
      <formula>19</formula>
    </cfRule>
  </conditionalFormatting>
  <dataValidations count="1">
    <dataValidation type="list" allowBlank="1" showInputMessage="1" showErrorMessage="1" sqref="S8 B21" xr:uid="{A568DD43-E04F-41FE-9798-48CA9892360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52EE-6A9F-4D1A-8B5E-812D2C43CD51}">
  <sheetPr>
    <pageSetUpPr fitToPage="1"/>
  </sheetPr>
  <dimension ref="A1:BF81"/>
  <sheetViews>
    <sheetView topLeftCell="A3" zoomScale="80" zoomScaleNormal="80" workbookViewId="0">
      <selection activeCell="B14" sqref="B14:O14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45734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3" t="s">
        <v>9</v>
      </c>
      <c r="C10" s="366" t="str">
        <f>[24]Brewhouse!$A124</f>
        <v>ST108</v>
      </c>
      <c r="D10" s="279">
        <f>[24]Brewhouse!$AD124</f>
        <v>53.8</v>
      </c>
      <c r="E10" s="279">
        <f>[24]Brewhouse!$AG124</f>
        <v>50.4</v>
      </c>
      <c r="F10" s="278">
        <f>[24]Brewhouse!$V124</f>
        <v>56</v>
      </c>
      <c r="G10" s="279">
        <f>[24]Brewhouse!$AE124</f>
        <v>11.7</v>
      </c>
      <c r="H10" s="396">
        <v>11.7</v>
      </c>
      <c r="I10" s="416">
        <f>[24]Brewhouse!$AS124</f>
        <v>97.480302480496775</v>
      </c>
      <c r="J10" s="416">
        <f>[24]Brewhouse!$AT124</f>
        <v>98.79122463537648</v>
      </c>
      <c r="K10" s="398">
        <f>[24]Brewhouse!$Q124</f>
        <v>6.3520871143375679</v>
      </c>
      <c r="L10" s="276">
        <f>[24]Brewhouse!$P124</f>
        <v>59</v>
      </c>
      <c r="M10" s="374">
        <f>[24]Brewhouse!$U124-[24]Brewhouse!$T124</f>
        <v>0.11041666666666666</v>
      </c>
      <c r="N10" s="370">
        <f>[24]Brewhouse!$AW124</f>
        <v>0.24444444444444441</v>
      </c>
      <c r="O10" s="417" t="str">
        <f>[24]Brewhouse!$AV124</f>
        <v>R. Regis</v>
      </c>
      <c r="P10" s="441"/>
      <c r="Q10" s="347"/>
      <c r="S10" s="277" t="str">
        <f t="shared" ref="S10:S19" si="0">B10</f>
        <v>STAG</v>
      </c>
      <c r="T10" s="296">
        <f t="shared" ref="T10:T19" si="1">VLOOKUP($B10,$S$3:$Y$9,2,FALSE)</f>
        <v>11.6</v>
      </c>
      <c r="U10" s="296">
        <f t="shared" ref="U10:U19" si="2">VLOOKUP($B10,$S$3:$Y$9,3,FALSE)</f>
        <v>12</v>
      </c>
      <c r="V10" s="297">
        <f t="shared" ref="V10:V19" si="3">VLOOKUP($B10,$S$3:$Y$9,4,FALSE)</f>
        <v>0</v>
      </c>
      <c r="W10" s="297">
        <f t="shared" ref="W10:W19" si="4">VLOOKUP($B10,$S$3:$Y$9,5,FALSE)</f>
        <v>0.118055555555556</v>
      </c>
      <c r="X10" s="297">
        <f t="shared" ref="X10:X19" si="5">VLOOKUP($B10,$S$3:$Y$9,6,FALSE)</f>
        <v>0.22569444444444445</v>
      </c>
      <c r="Y10" s="297">
        <f t="shared" ref="Y10:Y19" si="6">VLOOKUP($B10,$S$3:$Y$9,7,FALSE)</f>
        <v>0.2638888888888889</v>
      </c>
      <c r="Z10" s="297">
        <f t="shared" ref="Z10:Z19" si="7">VLOOKUP($B10,$S$3:$AA$9,8,FALSE)</f>
        <v>0</v>
      </c>
      <c r="AA10" s="296">
        <f t="shared" ref="AA10:AA19" si="8">VLOOKUP($B10,$S$3:$AA$9,9,FALSE)</f>
        <v>60</v>
      </c>
    </row>
    <row r="11" spans="2:30" ht="15.75" customHeight="1">
      <c r="B11" s="33" t="s">
        <v>9</v>
      </c>
      <c r="C11" s="366" t="str">
        <f>[24]Brewhouse!$A125</f>
        <v>ST109</v>
      </c>
      <c r="D11" s="279">
        <f>[24]Brewhouse!$AD125</f>
        <v>53.7</v>
      </c>
      <c r="E11" s="279">
        <f>[24]Brewhouse!$AG125</f>
        <v>50.2</v>
      </c>
      <c r="F11" s="278">
        <f>[24]Brewhouse!$V125</f>
        <v>58</v>
      </c>
      <c r="G11" s="279">
        <f>[24]Brewhouse!$AE125</f>
        <v>11.85</v>
      </c>
      <c r="H11" s="396">
        <v>11.8</v>
      </c>
      <c r="I11" s="416">
        <f>[24]Brewhouse!$AS125</f>
        <v>99.211017553113123</v>
      </c>
      <c r="J11" s="416">
        <f>[24]Brewhouse!$AT125</f>
        <v>100.54391751367288</v>
      </c>
      <c r="K11" s="398">
        <f>[24]Brewhouse!$Q125</f>
        <v>5.8076225045372105</v>
      </c>
      <c r="L11" s="276">
        <f>[24]Brewhouse!$P125</f>
        <v>60</v>
      </c>
      <c r="M11" s="374">
        <f>[24]Brewhouse!$U125-[24]Brewhouse!$T125</f>
        <v>0.10902777777777772</v>
      </c>
      <c r="N11" s="370">
        <f>[24]Brewhouse!$AW125</f>
        <v>0.2409722222222222</v>
      </c>
      <c r="O11" s="417" t="str">
        <f>[24]Brewhouse!$AV125</f>
        <v>R. Regis</v>
      </c>
      <c r="P11" s="441"/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33" t="s">
        <v>9</v>
      </c>
      <c r="C12" s="366" t="str">
        <f>[24]Brewhouse!$A126</f>
        <v>ST110</v>
      </c>
      <c r="D12" s="279">
        <f>[24]Brewhouse!$AD126</f>
        <v>54</v>
      </c>
      <c r="E12" s="279">
        <f>[24]Brewhouse!$AG126</f>
        <v>50.6</v>
      </c>
      <c r="F12" s="278">
        <f>[24]Brewhouse!$V126</f>
        <v>63</v>
      </c>
      <c r="G12" s="279">
        <f>[24]Brewhouse!$AE126</f>
        <v>11.71</v>
      </c>
      <c r="H12" s="396">
        <v>11.7</v>
      </c>
      <c r="I12" s="416">
        <f>[24]Brewhouse!$AS126</f>
        <v>98.111702404981273</v>
      </c>
      <c r="J12" s="416">
        <f>[24]Brewhouse!$AT126</f>
        <v>99.430261666769198</v>
      </c>
      <c r="K12" s="398">
        <f>[24]Brewhouse!$Q126</f>
        <v>5.3016453382084068</v>
      </c>
      <c r="L12" s="276">
        <f>[24]Brewhouse!$P126</f>
        <v>60</v>
      </c>
      <c r="M12" s="374">
        <f>[24]Brewhouse!$U126-[24]Brewhouse!$T126</f>
        <v>0.1118055555555556</v>
      </c>
      <c r="N12" s="370">
        <f>[24]Brewhouse!$AW126</f>
        <v>0.24375000000000002</v>
      </c>
      <c r="O12" s="417" t="str">
        <f>[24]Brewhouse!$AV126</f>
        <v>R. Regis</v>
      </c>
      <c r="P12" s="441"/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33" t="s">
        <v>9</v>
      </c>
      <c r="C13" s="366" t="str">
        <f>[24]Brewhouse!$A127</f>
        <v>ST111</v>
      </c>
      <c r="D13" s="279">
        <f>[24]Brewhouse!$AD127</f>
        <v>54.1</v>
      </c>
      <c r="E13" s="279">
        <f>[24]Brewhouse!$AG127</f>
        <v>50.8</v>
      </c>
      <c r="F13" s="278">
        <f>[24]Brewhouse!$V127</f>
        <v>61</v>
      </c>
      <c r="G13" s="279">
        <f>[24]Brewhouse!$AE127</f>
        <v>11.74</v>
      </c>
      <c r="H13" s="396">
        <v>11.8</v>
      </c>
      <c r="I13" s="416">
        <f>[24]Brewhouse!$AS127</f>
        <v>98.934461309721527</v>
      </c>
      <c r="J13" s="416">
        <f>[24]Brewhouse!$AT127</f>
        <v>99.947722761267769</v>
      </c>
      <c r="K13" s="398">
        <f>[24]Brewhouse!$Q127</f>
        <v>5.9782608695652248</v>
      </c>
      <c r="L13" s="276">
        <f>[24]Brewhouse!$P127</f>
        <v>61</v>
      </c>
      <c r="M13" s="374">
        <f>[24]Brewhouse!$U127-[24]Brewhouse!$T127</f>
        <v>0.11458333333333337</v>
      </c>
      <c r="N13" s="370">
        <f>[24]Brewhouse!$AW127</f>
        <v>0.25069444444444444</v>
      </c>
      <c r="O13" s="417" t="str">
        <f>[24]Brewhouse!$AV127</f>
        <v>R. Regis</v>
      </c>
      <c r="P13" s="441"/>
      <c r="Q13" s="347"/>
      <c r="S13" s="277" t="str">
        <f t="shared" si="0"/>
        <v>STAG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33" t="s">
        <v>9</v>
      </c>
      <c r="C14" s="366" t="str">
        <f>[24]Brewhouse!$A128</f>
        <v>ST112</v>
      </c>
      <c r="D14" s="279">
        <f>[24]Brewhouse!$AD128</f>
        <v>53.5</v>
      </c>
      <c r="E14" s="279">
        <f>[24]Brewhouse!$AG128</f>
        <v>50.3</v>
      </c>
      <c r="F14" s="278">
        <f>[24]Brewhouse!$V128</f>
        <v>61</v>
      </c>
      <c r="G14" s="279">
        <f>[24]Brewhouse!$AE128</f>
        <v>11.76</v>
      </c>
      <c r="H14" s="396">
        <v>11.8</v>
      </c>
      <c r="I14" s="416">
        <f>[24]Brewhouse!$AS128</f>
        <v>98.841782508267997</v>
      </c>
      <c r="J14" s="416">
        <f>[24]Brewhouse!$AT128</f>
        <v>99.854094767231132</v>
      </c>
      <c r="K14" s="398">
        <f>[24]Brewhouse!$Q128</f>
        <v>4.5703839122486292</v>
      </c>
      <c r="L14" s="276">
        <f>[24]Brewhouse!$P128</f>
        <v>58</v>
      </c>
      <c r="M14" s="374">
        <f>[24]Brewhouse!$U128-[24]Brewhouse!$T128</f>
        <v>0.10833333333333339</v>
      </c>
      <c r="N14" s="370">
        <f>[24]Brewhouse!$AW128</f>
        <v>0.24097222222222225</v>
      </c>
      <c r="O14" s="417" t="str">
        <f>[24]Brewhouse!$AV128</f>
        <v>R.Sookram</v>
      </c>
      <c r="P14" s="441"/>
      <c r="Q14" s="347"/>
      <c r="S14" s="277" t="str">
        <f t="shared" si="0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33"/>
      <c r="C15" s="366"/>
      <c r="D15" s="279"/>
      <c r="E15" s="279"/>
      <c r="F15" s="278"/>
      <c r="G15" s="279"/>
      <c r="H15" s="396"/>
      <c r="I15" s="416"/>
      <c r="J15" s="416"/>
      <c r="K15" s="398"/>
      <c r="L15" s="276"/>
      <c r="M15" s="374"/>
      <c r="N15" s="370"/>
      <c r="O15" s="417"/>
      <c r="P15" s="441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customHeight="1">
      <c r="B16" s="29" t="s">
        <v>6</v>
      </c>
      <c r="C16" s="366" t="str">
        <f>[23]Brewhouse!$A296</f>
        <v>CA193</v>
      </c>
      <c r="D16" s="279">
        <f>[23]Brewhouse!$AF296</f>
        <v>54.2</v>
      </c>
      <c r="E16" s="279">
        <f>[23]Brewhouse!$AI296</f>
        <v>50.4</v>
      </c>
      <c r="F16" s="278">
        <f>[23]Brewhouse!$V296</f>
        <v>62</v>
      </c>
      <c r="G16" s="279">
        <f>[23]Brewhouse!$AG296</f>
        <v>11.7</v>
      </c>
      <c r="H16" s="367"/>
      <c r="I16" s="368">
        <f>[23]Brewhouse!$AU296</f>
        <v>100.31098207591012</v>
      </c>
      <c r="J16" s="368">
        <f>[23]Brewhouse!$AV296</f>
        <v>101.55002808115484</v>
      </c>
      <c r="K16" s="281">
        <f>[23]Brewhouse!$Q296</f>
        <v>8.8014311270125134</v>
      </c>
      <c r="L16" s="276">
        <f>[23]Brewhouse!$P296</f>
        <v>59</v>
      </c>
      <c r="M16" s="397">
        <f>[23]Brewhouse!$U296-[23]Brewhouse!$T296</f>
        <v>0.13888888888888884</v>
      </c>
      <c r="N16" s="370">
        <f>[23]Brewhouse!$Z296</f>
        <v>0.28819444444444442</v>
      </c>
      <c r="O16" s="371" t="str">
        <f>[23]Brewhouse!$AX296</f>
        <v>R.Sookram</v>
      </c>
      <c r="P16" s="441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 t="s">
        <v>6</v>
      </c>
      <c r="C17" s="366" t="str">
        <f>[23]Brewhouse!$A297</f>
        <v>CA194</v>
      </c>
      <c r="D17" s="279">
        <f>[23]Brewhouse!$AF297</f>
        <v>53.3</v>
      </c>
      <c r="E17" s="279">
        <f>[23]Brewhouse!$AI297</f>
        <v>50.2</v>
      </c>
      <c r="F17" s="278">
        <f>[23]Brewhouse!$V297</f>
        <v>60</v>
      </c>
      <c r="G17" s="279">
        <f>[23]Brewhouse!$AG297</f>
        <v>12</v>
      </c>
      <c r="H17" s="396">
        <v>12</v>
      </c>
      <c r="I17" s="368">
        <f>[23]Brewhouse!$AU297</f>
        <v>102.74010817185233</v>
      </c>
      <c r="J17" s="368">
        <f>[23]Brewhouse!$AV297</f>
        <v>104.00908476743047</v>
      </c>
      <c r="K17" s="281">
        <f>[23]Brewhouse!$Q297</f>
        <v>8.6535008976660688</v>
      </c>
      <c r="L17" s="276">
        <f>[23]Brewhouse!$P297</f>
        <v>61</v>
      </c>
      <c r="M17" s="397">
        <f>[23]Brewhouse!$U297-[23]Brewhouse!$T297</f>
        <v>0.15069444444444424</v>
      </c>
      <c r="N17" s="370">
        <f>[23]Brewhouse!$Z297</f>
        <v>0.32222222222222208</v>
      </c>
      <c r="O17" s="371" t="str">
        <f>[23]Brewhouse!$AX297</f>
        <v>K.Benjamin</v>
      </c>
      <c r="P17" s="441" t="s">
        <v>193</v>
      </c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416"/>
      <c r="J18" s="416"/>
      <c r="K18" s="398"/>
      <c r="L18" s="276"/>
      <c r="M18" s="374"/>
      <c r="N18" s="370"/>
      <c r="O18" s="417"/>
      <c r="P18" s="441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1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369"/>
      <c r="Q20" s="347"/>
      <c r="S20" s="277">
        <f t="shared" ref="S20:S23" si="9">B20</f>
        <v>0</v>
      </c>
      <c r="T20" s="296" t="e">
        <f t="shared" ref="T20:T23" si="10">VLOOKUP($B20,$S$3:$Y$9,2,FALSE)</f>
        <v>#N/A</v>
      </c>
      <c r="U20" s="296" t="e">
        <f t="shared" ref="U20:U23" si="11">VLOOKUP($B20,$S$3:$Y$9,3,FALSE)</f>
        <v>#N/A</v>
      </c>
      <c r="V20" s="297" t="e">
        <f t="shared" ref="V20:V23" si="12">VLOOKUP($B20,$S$3:$Y$9,4,FALSE)</f>
        <v>#N/A</v>
      </c>
      <c r="W20" s="297" t="e">
        <f t="shared" ref="W20:W23" si="13">VLOOKUP($B20,$S$3:$Y$9,5,FALSE)</f>
        <v>#N/A</v>
      </c>
      <c r="X20" s="297" t="e">
        <f t="shared" ref="X20:X23" si="14">VLOOKUP($B20,$S$3:$Y$9,6,FALSE)</f>
        <v>#N/A</v>
      </c>
      <c r="Y20" s="297" t="e">
        <f t="shared" ref="Y20:Y23" si="15">VLOOKUP($B20,$S$3:$Y$9,7,FALSE)</f>
        <v>#N/A</v>
      </c>
      <c r="Z20" s="297" t="e">
        <f t="shared" ref="Z20:Z23" si="16">VLOOKUP($B20,$S$3:$AA$9,8,FALSE)</f>
        <v>#N/A</v>
      </c>
      <c r="AA20" s="296" t="e">
        <f t="shared" ref="AA20:AA23" si="17">VLOOKUP($B20,$S$3:$AA$9,9,FALSE)</f>
        <v>#N/A</v>
      </c>
    </row>
    <row r="21" spans="1:27" ht="14.4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481" t="s">
        <v>34</v>
      </c>
      <c r="J22" s="481"/>
      <c r="K22" s="481"/>
      <c r="L22" s="481"/>
      <c r="M22" s="481"/>
      <c r="N22" s="481"/>
      <c r="O22" s="1"/>
      <c r="P22" s="12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1:27" ht="15" thickBot="1">
      <c r="B23" s="388" t="s">
        <v>145</v>
      </c>
      <c r="C23" s="388"/>
      <c r="D23" s="459" t="s">
        <v>35</v>
      </c>
      <c r="E23" s="460"/>
      <c r="F23" s="294"/>
      <c r="G23" s="294"/>
      <c r="H23" s="348"/>
      <c r="I23" s="24" t="s">
        <v>17</v>
      </c>
      <c r="J23" s="25" t="s">
        <v>36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S23" s="277" t="str">
        <f t="shared" si="9"/>
        <v>BRAND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1:27" ht="15" customHeight="1">
      <c r="A24" s="28"/>
      <c r="B24" s="482" t="s">
        <v>9</v>
      </c>
      <c r="C24" s="362" cm="1">
        <f t="array" ref="C24:C27">[24]Process!$D$100:$D$103</f>
        <v>12.1</v>
      </c>
      <c r="D24" s="485">
        <v>11.84</v>
      </c>
      <c r="E24" s="486"/>
      <c r="F24" s="294"/>
      <c r="G24" s="294"/>
      <c r="H24" s="348"/>
      <c r="I24" s="29" t="s">
        <v>6</v>
      </c>
      <c r="J24" s="280">
        <f>AVERAGE(I16:I17)</f>
        <v>101.52554512388122</v>
      </c>
      <c r="K24" s="284">
        <f>COUNTA([23]Brewhouse!$A$255:$A$297)</f>
        <v>43</v>
      </c>
      <c r="L24" s="302">
        <f>AVERAGE([23]Brewhouse!$AU$255:$AU$297)</f>
        <v>99.017289293091608</v>
      </c>
      <c r="M24" s="302">
        <f>AVERAGE([23]Brewhouse!$AU$102:$AU$171,[23]Brewhouse!$AU$173:$AU$253,[23]Brewhouse!$AU$255:$AU$297)</f>
        <v>96.362933468197923</v>
      </c>
      <c r="N24" s="30">
        <v>98</v>
      </c>
      <c r="O24" s="11"/>
      <c r="P24" s="31"/>
      <c r="S24" s="277"/>
      <c r="T24" s="296"/>
      <c r="U24" s="296"/>
      <c r="V24" s="297"/>
      <c r="W24" s="297"/>
      <c r="X24" s="297"/>
      <c r="Y24" s="297"/>
      <c r="Z24" s="297"/>
      <c r="AA24" s="296"/>
    </row>
    <row r="25" spans="1:27" ht="15" customHeight="1">
      <c r="A25" s="28"/>
      <c r="B25" s="483"/>
      <c r="C25" s="349">
        <v>12</v>
      </c>
      <c r="D25" s="487"/>
      <c r="E25" s="488"/>
      <c r="F25" s="294"/>
      <c r="G25" s="294"/>
      <c r="H25" s="348"/>
      <c r="I25" s="33" t="s">
        <v>9</v>
      </c>
      <c r="J25" s="280">
        <f>AVERAGE(I10:I14)</f>
        <v>98.515853251316145</v>
      </c>
      <c r="K25" s="284">
        <f>COUNTA([24]Brewhouse!$A$105:$A$128)</f>
        <v>24</v>
      </c>
      <c r="L25" s="302">
        <f>AVERAGE([24]Brewhouse!$AS$105:$AS$128)</f>
        <v>98.709474475329685</v>
      </c>
      <c r="M25" s="302">
        <f>AVERAGE([24]Brewhouse!$AS$15:$AS$64,[24]Brewhouse!$AS$66:$AS$103,[24]Brewhouse!$AS$105:$AS$128)</f>
        <v>96.492521063456024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4.7" customHeight="1">
      <c r="A26" s="28"/>
      <c r="B26" s="483"/>
      <c r="C26" s="349">
        <v>11.8</v>
      </c>
      <c r="D26" s="485">
        <v>11.81</v>
      </c>
      <c r="E26" s="486"/>
      <c r="F26" s="294"/>
      <c r="G26" s="294"/>
      <c r="H26" s="348"/>
      <c r="I26" s="34" t="s">
        <v>12</v>
      </c>
      <c r="J26" s="280"/>
      <c r="K26" s="284">
        <f>COUNTA([25]Brewhouse!$A$24:$A$31)</f>
        <v>8</v>
      </c>
      <c r="L26" s="302">
        <f>AVERAGE([25]Brewhouse!$AU$24:$AU$31)</f>
        <v>98.193576760694924</v>
      </c>
      <c r="M26" s="302">
        <f>AVERAGE([25]Brewhouse!$AU$4:$AU$7,[25]Brewhouse!$AU$9:$AU$22,[25]Brewhouse!$AU$24:$AU$31)</f>
        <v>96.826546264179598</v>
      </c>
      <c r="N26" s="30">
        <v>98</v>
      </c>
      <c r="O26" s="11"/>
      <c r="P26" s="31"/>
      <c r="S26" s="23"/>
      <c r="T26" s="1"/>
      <c r="U26" s="1"/>
      <c r="AA26" s="285"/>
    </row>
    <row r="27" spans="1:27" ht="14.7" customHeight="1">
      <c r="A27" s="28"/>
      <c r="B27" s="483"/>
      <c r="C27" s="349">
        <v>11.8</v>
      </c>
      <c r="D27" s="487"/>
      <c r="E27" s="488"/>
      <c r="F27" s="294"/>
      <c r="G27" s="294"/>
      <c r="H27" s="348"/>
      <c r="I27" s="22" t="s">
        <v>33</v>
      </c>
      <c r="J27" s="280"/>
      <c r="K27" s="284"/>
      <c r="L27" s="302"/>
      <c r="M27" s="302">
        <f>AVERAGE([26]Brewhouse!$AV$5:$AV$14,[26]Brewhouse!$AV$16:$AV$19)</f>
        <v>98.230957815544443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483"/>
      <c r="C28" s="349"/>
      <c r="D28" s="485"/>
      <c r="E28" s="486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S28" s="23"/>
    </row>
    <row r="29" spans="1:27" ht="14.7" customHeight="1">
      <c r="A29" s="28"/>
      <c r="B29" s="483"/>
      <c r="C29" s="349"/>
      <c r="D29" s="487"/>
      <c r="E29" s="488"/>
      <c r="F29" s="294"/>
      <c r="G29" s="294"/>
      <c r="H29" s="348"/>
      <c r="I29" s="36" t="s">
        <v>15</v>
      </c>
      <c r="J29" s="323"/>
      <c r="K29" s="284"/>
      <c r="L29" s="302"/>
      <c r="M29" s="302">
        <f>AVERAGE([27]Brewhouse!$AT$4:$AT$11)</f>
        <v>94.812616598822359</v>
      </c>
      <c r="N29" s="30">
        <v>98</v>
      </c>
      <c r="O29" s="11"/>
      <c r="P29" s="31"/>
      <c r="S29" s="23"/>
    </row>
    <row r="30" spans="1:27" ht="14.7" customHeight="1">
      <c r="A30" s="28"/>
      <c r="B30" s="483"/>
      <c r="C30" s="349"/>
      <c r="D30" s="485"/>
      <c r="E30" s="486"/>
      <c r="F30" s="294"/>
      <c r="G30" s="294"/>
      <c r="H30" s="348"/>
      <c r="I30" s="37" t="s">
        <v>16</v>
      </c>
      <c r="J30" s="323"/>
      <c r="K30" s="284">
        <f>COUNTA([22]Brewhouse!$A$22:$A$29)</f>
        <v>8</v>
      </c>
      <c r="L30" s="302">
        <f>AVERAGE([22]Brewhouse!$AY$22:$AY$29)</f>
        <v>98.065834237903474</v>
      </c>
      <c r="M30" s="302">
        <f>AVERAGE([22]Brewhouse!$AY$6:$AY$13,[22]Brewhouse!$AY$15:$AY$20,[22]Brewhouse!$AY$22:$AY$29)</f>
        <v>95.660462473217876</v>
      </c>
      <c r="N30" s="30">
        <v>98</v>
      </c>
      <c r="O30" s="11"/>
      <c r="P30" s="31" t="s">
        <v>41</v>
      </c>
      <c r="S30" s="23"/>
      <c r="X30" s="275" t="s">
        <v>41</v>
      </c>
    </row>
    <row r="31" spans="1:27" ht="14.7" customHeight="1">
      <c r="A31" s="28"/>
      <c r="B31" s="483"/>
      <c r="C31" s="349"/>
      <c r="D31" s="487"/>
      <c r="E31" s="488"/>
      <c r="F31" s="294"/>
      <c r="G31" s="294"/>
      <c r="H31" s="348"/>
      <c r="I31" s="415" t="s">
        <v>158</v>
      </c>
      <c r="J31" s="326"/>
      <c r="K31" s="284"/>
      <c r="L31" s="305"/>
      <c r="M31" s="305">
        <f>AVERAGE([28]Brewhouse!$AU$5:$AU$8)</f>
        <v>91.006888337619571</v>
      </c>
      <c r="N31" s="30">
        <v>98</v>
      </c>
      <c r="O31" s="11"/>
      <c r="P31" s="31"/>
      <c r="S31" s="23"/>
    </row>
    <row r="32" spans="1:27" ht="14.7" customHeight="1">
      <c r="A32" s="28"/>
      <c r="B32" s="483"/>
      <c r="C32" s="349"/>
      <c r="D32" s="485"/>
      <c r="E32" s="486"/>
      <c r="F32" s="294"/>
      <c r="G32" s="294"/>
      <c r="H32" s="348"/>
      <c r="I32" s="414" t="s">
        <v>157</v>
      </c>
      <c r="J32" s="326"/>
      <c r="K32" s="284"/>
      <c r="L32" s="305"/>
      <c r="M32" s="305"/>
      <c r="N32" s="30">
        <v>98</v>
      </c>
      <c r="O32" s="11"/>
      <c r="P32" s="31"/>
      <c r="S32" s="23"/>
    </row>
    <row r="33" spans="1:57" ht="15" customHeight="1" thickBot="1">
      <c r="A33" s="28"/>
      <c r="B33" s="483"/>
      <c r="C33" s="349"/>
      <c r="D33" s="487"/>
      <c r="E33" s="488"/>
      <c r="F33" s="294"/>
      <c r="G33" s="294"/>
      <c r="H33" s="348"/>
      <c r="I33" s="410" t="s">
        <v>156</v>
      </c>
      <c r="J33" s="327"/>
      <c r="K33" s="411"/>
      <c r="L33" s="412"/>
      <c r="M33" s="412"/>
      <c r="N33" s="413">
        <v>98</v>
      </c>
      <c r="O33" s="11"/>
      <c r="P33" s="31"/>
      <c r="S33" s="23"/>
    </row>
    <row r="34" spans="1:57" ht="15" customHeight="1" thickBot="1">
      <c r="A34" s="28"/>
      <c r="B34" s="483"/>
      <c r="C34" s="349"/>
      <c r="D34" s="485"/>
      <c r="E34" s="486"/>
      <c r="F34" s="294"/>
      <c r="G34" s="294"/>
      <c r="H34" s="348"/>
      <c r="I34" s="1"/>
      <c r="J34" s="39"/>
      <c r="K34" s="408">
        <f>SUM(K24:K33)</f>
        <v>83</v>
      </c>
      <c r="L34" s="409">
        <f>((L24*K24)+(L25*K25)+(L26*K26)+(L27*K27)+(L28*K28)+(K31*L31)+(L29*K29)+(L30*K30)+(L33*K33))/(K34)</f>
        <v>98.757182108429404</v>
      </c>
      <c r="M34" s="409">
        <f>AVERAGE('[29]Jan 31st'!$L$65,'[30]Feb 28th'!$L$35,L34)</f>
        <v>96.733386178609479</v>
      </c>
      <c r="N34" s="40">
        <v>98</v>
      </c>
      <c r="O34" s="11"/>
      <c r="P34" s="31"/>
      <c r="S34" s="23"/>
    </row>
    <row r="35" spans="1:57" ht="15" thickBot="1">
      <c r="B35" s="484"/>
      <c r="C35" s="350"/>
      <c r="D35" s="487"/>
      <c r="E35" s="488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S35" s="23"/>
    </row>
    <row r="36" spans="1:57" ht="15" thickBot="1">
      <c r="B36" s="547"/>
      <c r="C36" s="362"/>
      <c r="D36" s="498"/>
      <c r="E36" s="499"/>
      <c r="F36" s="43"/>
      <c r="G36" s="41"/>
      <c r="H36" s="41"/>
      <c r="I36" s="42"/>
      <c r="J36" s="501" t="s">
        <v>129</v>
      </c>
      <c r="K36" s="501"/>
      <c r="L36" s="294"/>
      <c r="M36" s="294"/>
      <c r="N36" s="294"/>
      <c r="O36" s="294"/>
      <c r="P36" s="12"/>
      <c r="S36" s="23" t="s">
        <v>41</v>
      </c>
    </row>
    <row r="37" spans="1:57" ht="13.5" customHeight="1" thickBot="1">
      <c r="B37" s="483"/>
      <c r="C37" s="349"/>
      <c r="D37" s="500"/>
      <c r="E37" s="488"/>
      <c r="F37" s="43"/>
      <c r="G37" s="41"/>
      <c r="H37" s="41"/>
      <c r="I37" s="42"/>
      <c r="J37" s="418" t="s">
        <v>17</v>
      </c>
      <c r="K37" s="293" t="s">
        <v>147</v>
      </c>
      <c r="L37" s="502" t="s">
        <v>136</v>
      </c>
      <c r="M37" s="502"/>
      <c r="N37" s="503"/>
      <c r="O37" s="294"/>
      <c r="P37" s="12"/>
      <c r="S37" s="23"/>
    </row>
    <row r="38" spans="1:57" ht="15" customHeight="1" thickBot="1">
      <c r="B38" s="483"/>
      <c r="C38" s="349"/>
      <c r="D38" s="504"/>
      <c r="E38" s="486"/>
      <c r="F38" s="43"/>
      <c r="G38" s="41"/>
      <c r="H38" s="41"/>
      <c r="I38" s="42"/>
      <c r="J38" s="419" t="s">
        <v>6</v>
      </c>
      <c r="K38" s="324">
        <f>COUNTA(B16:B17)</f>
        <v>2</v>
      </c>
      <c r="L38" s="343" t="s">
        <v>37</v>
      </c>
      <c r="M38" s="307" t="s">
        <v>38</v>
      </c>
      <c r="N38" s="307" t="s">
        <v>84</v>
      </c>
      <c r="O38" s="294"/>
      <c r="P38" s="12"/>
      <c r="S38" s="23"/>
    </row>
    <row r="39" spans="1:57" ht="15.75" customHeight="1" thickBot="1">
      <c r="B39" s="483"/>
      <c r="C39" s="349"/>
      <c r="D39" s="500"/>
      <c r="E39" s="488"/>
      <c r="F39" s="43"/>
      <c r="G39" s="41"/>
      <c r="H39" s="41"/>
      <c r="I39" s="42"/>
      <c r="J39" s="420" t="s">
        <v>9</v>
      </c>
      <c r="K39" s="324">
        <f>COUNTA(B10:B14)</f>
        <v>5</v>
      </c>
      <c r="L39" s="344">
        <f>AVERAGE('Mar. 3rd'!K80,'Mar. 4th'!K81,'Mar. 5th '!K50,'Mar. 6th'!K50,'Mar. 7th &amp; 8th'!J52:K52,'Mar. 10th'!K49,'Mar. 11th'!K49,'Mar. 12th'!K47,'Mar. 13th'!K49,'Mar. 14th &amp; 16th'!J48,'Mar. 14th &amp; 16th'!K48,'Mar. 17th'!K48)</f>
        <v>6.3076923076923075</v>
      </c>
      <c r="M39" s="325">
        <f>AVERAGE('[29]Jan 29th '!$M$70,'[30]Feb 28th'!$L$40,L39)</f>
        <v>6.6062271062271058</v>
      </c>
      <c r="N39" s="400">
        <v>10</v>
      </c>
      <c r="O39" s="294"/>
      <c r="P39" s="12"/>
      <c r="S39" s="23"/>
    </row>
    <row r="40" spans="1:57" ht="15" customHeight="1">
      <c r="B40" s="483"/>
      <c r="C40" s="349"/>
      <c r="D40" s="504"/>
      <c r="E40" s="486"/>
      <c r="F40" s="43"/>
      <c r="G40" s="41"/>
      <c r="H40" s="41"/>
      <c r="I40" s="42"/>
      <c r="J40" s="421" t="s">
        <v>40</v>
      </c>
      <c r="K40" s="324"/>
      <c r="L40" s="294"/>
      <c r="M40" s="294"/>
      <c r="N40" s="294"/>
      <c r="O40" s="294"/>
      <c r="P40" s="12"/>
      <c r="S40" s="23"/>
    </row>
    <row r="41" spans="1:57" ht="15" customHeight="1">
      <c r="B41" s="483"/>
      <c r="C41" s="349"/>
      <c r="D41" s="500"/>
      <c r="E41" s="488"/>
      <c r="F41" s="43"/>
      <c r="G41" s="41"/>
      <c r="H41" s="41"/>
      <c r="I41" s="42"/>
      <c r="J41" s="422" t="s">
        <v>33</v>
      </c>
      <c r="K41" s="324"/>
      <c r="L41" s="294"/>
      <c r="M41" s="294"/>
      <c r="N41" s="294"/>
      <c r="O41" s="294"/>
      <c r="P41" s="12"/>
      <c r="S41" s="23"/>
    </row>
    <row r="42" spans="1:57" ht="14.4">
      <c r="B42" s="483"/>
      <c r="C42" s="349"/>
      <c r="D42" s="504"/>
      <c r="E42" s="486"/>
      <c r="F42" s="43"/>
      <c r="G42" s="41"/>
      <c r="H42" s="41"/>
      <c r="I42" s="42"/>
      <c r="J42" s="423" t="s">
        <v>16</v>
      </c>
      <c r="K42" s="324"/>
      <c r="L42" s="294"/>
      <c r="M42" s="294"/>
      <c r="N42" s="294"/>
      <c r="O42" s="294"/>
      <c r="P42" s="12"/>
      <c r="S42" s="23"/>
      <c r="BD42" s="44"/>
      <c r="BE42" s="44"/>
    </row>
    <row r="43" spans="1:57" ht="14.4">
      <c r="B43" s="483"/>
      <c r="C43" s="349"/>
      <c r="D43" s="500"/>
      <c r="E43" s="488"/>
      <c r="F43" s="43"/>
      <c r="G43" s="41"/>
      <c r="H43" s="41"/>
      <c r="I43" s="42"/>
      <c r="J43" s="424" t="s">
        <v>15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483"/>
      <c r="C44" s="349"/>
      <c r="D44" s="505"/>
      <c r="E44" s="490"/>
      <c r="F44" s="43"/>
      <c r="G44" s="41"/>
      <c r="H44" s="41"/>
      <c r="I44" s="42"/>
      <c r="J44" s="424" t="s">
        <v>149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5" thickBot="1">
      <c r="B45" s="484"/>
      <c r="C45" s="350"/>
      <c r="D45" s="506"/>
      <c r="E45" s="507"/>
      <c r="F45" s="43"/>
      <c r="G45" s="41"/>
      <c r="H45" s="41"/>
      <c r="I45" s="42"/>
      <c r="J45" s="424" t="s">
        <v>148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7.7" customHeight="1" thickBot="1">
      <c r="B46" s="312" t="s">
        <v>139</v>
      </c>
      <c r="C46" s="313"/>
      <c r="D46" s="508">
        <f>AVERAGE(D24:E45)</f>
        <v>11.824999999999999</v>
      </c>
      <c r="E46" s="509"/>
      <c r="F46" s="43"/>
      <c r="G46" s="41"/>
      <c r="H46" s="41"/>
      <c r="I46" s="42"/>
      <c r="J46" s="425" t="s">
        <v>134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>
      <c r="B47" s="363"/>
      <c r="C47" s="364"/>
      <c r="D47" s="365"/>
      <c r="E47" s="365"/>
      <c r="F47" s="43"/>
      <c r="G47" s="41"/>
      <c r="H47" s="41"/>
      <c r="I47" s="42"/>
      <c r="J47" s="425" t="s">
        <v>131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5.75" customHeight="1">
      <c r="B48" s="45"/>
      <c r="C48" s="11"/>
      <c r="D48" s="11"/>
      <c r="E48" s="46"/>
      <c r="F48" s="23"/>
      <c r="G48" s="11"/>
      <c r="H48" s="41"/>
      <c r="I48" s="42"/>
      <c r="J48" s="426" t="s">
        <v>130</v>
      </c>
      <c r="K48" s="324">
        <f>SUM(K38:K47)</f>
        <v>7</v>
      </c>
      <c r="L48" s="294"/>
      <c r="M48" s="294"/>
      <c r="N48" s="294"/>
      <c r="O48" s="294"/>
      <c r="P48" s="12"/>
    </row>
    <row r="49" spans="2:58" ht="20.25" customHeight="1">
      <c r="B49" s="15" t="s">
        <v>42</v>
      </c>
      <c r="C49" s="1" t="s">
        <v>43</v>
      </c>
      <c r="D49" s="1"/>
      <c r="E49" s="1"/>
      <c r="I49" s="42"/>
      <c r="L49" s="294"/>
      <c r="P49" s="334"/>
    </row>
    <row r="50" spans="2:58" ht="15" customHeight="1" thickBo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48"/>
      <c r="P50" s="49"/>
      <c r="X50" s="275" t="s">
        <v>41</v>
      </c>
    </row>
    <row r="51" spans="2:58" ht="15" customHeight="1" thickBot="1">
      <c r="B51" s="510" t="s">
        <v>17</v>
      </c>
      <c r="C51" s="510" t="s">
        <v>44</v>
      </c>
      <c r="D51" s="512" t="s">
        <v>45</v>
      </c>
      <c r="E51" s="467" t="s">
        <v>46</v>
      </c>
      <c r="F51" s="527" t="s">
        <v>47</v>
      </c>
      <c r="G51" s="521" t="s">
        <v>48</v>
      </c>
      <c r="H51" s="510" t="s">
        <v>49</v>
      </c>
      <c r="I51" s="510" t="s">
        <v>50</v>
      </c>
      <c r="J51" s="515" t="s">
        <v>28</v>
      </c>
      <c r="K51" s="465" t="s">
        <v>51</v>
      </c>
      <c r="L51" s="477" t="s">
        <v>52</v>
      </c>
      <c r="M51" s="515" t="s">
        <v>53</v>
      </c>
      <c r="N51" s="77"/>
      <c r="O51" s="13"/>
      <c r="P51" s="50"/>
    </row>
    <row r="52" spans="2:58" ht="28.5" customHeight="1" thickTop="1" thickBot="1">
      <c r="B52" s="511"/>
      <c r="C52" s="511"/>
      <c r="D52" s="513"/>
      <c r="E52" s="514"/>
      <c r="F52" s="528"/>
      <c r="G52" s="522"/>
      <c r="H52" s="511"/>
      <c r="I52" s="511"/>
      <c r="J52" s="516"/>
      <c r="K52" s="525"/>
      <c r="L52" s="526"/>
      <c r="M52" s="516"/>
      <c r="N52" s="77"/>
      <c r="O52" s="13"/>
      <c r="P52" s="50"/>
      <c r="Q52" s="355"/>
      <c r="R52" s="355"/>
      <c r="S52" s="355"/>
      <c r="T52" s="355"/>
      <c r="U52" s="51">
        <v>43466</v>
      </c>
      <c r="V52" s="51">
        <v>43467</v>
      </c>
      <c r="W52" s="51">
        <v>43468</v>
      </c>
      <c r="X52" s="51">
        <v>43469</v>
      </c>
      <c r="Y52" s="51">
        <v>43470</v>
      </c>
      <c r="Z52" s="51">
        <v>43471</v>
      </c>
      <c r="AA52" s="51">
        <v>43472</v>
      </c>
      <c r="AB52" s="51">
        <v>43473</v>
      </c>
      <c r="AC52" s="51">
        <v>43474</v>
      </c>
      <c r="AD52" s="51">
        <v>43475</v>
      </c>
      <c r="AE52" s="51">
        <v>43476</v>
      </c>
      <c r="AF52" s="51">
        <v>43477</v>
      </c>
      <c r="AG52" s="51">
        <v>43478</v>
      </c>
      <c r="AH52" s="51">
        <v>43479</v>
      </c>
      <c r="AI52" s="51">
        <v>43480</v>
      </c>
      <c r="AJ52" s="51">
        <v>43481</v>
      </c>
      <c r="AK52" s="51">
        <v>43482</v>
      </c>
      <c r="AL52" s="51">
        <v>43483</v>
      </c>
      <c r="AM52" s="51">
        <v>43484</v>
      </c>
      <c r="AN52" s="51">
        <v>43485</v>
      </c>
      <c r="AO52" s="51">
        <v>43486</v>
      </c>
      <c r="AP52" s="51">
        <v>43487</v>
      </c>
      <c r="AQ52" s="51">
        <v>43488</v>
      </c>
      <c r="AR52" s="51">
        <v>43489</v>
      </c>
      <c r="AS52" s="51">
        <v>43490</v>
      </c>
      <c r="AT52" s="51">
        <v>43491</v>
      </c>
      <c r="AU52" s="51">
        <v>43492</v>
      </c>
      <c r="AV52" s="51">
        <v>43493</v>
      </c>
      <c r="AW52" s="51">
        <v>43494</v>
      </c>
      <c r="AX52" s="51">
        <v>43495</v>
      </c>
      <c r="AY52" s="51">
        <v>43496</v>
      </c>
    </row>
    <row r="53" spans="2:58" s="54" customFormat="1" ht="56.4" customHeight="1" thickBot="1">
      <c r="B53" s="443" t="str">
        <f>J39</f>
        <v>STAG</v>
      </c>
      <c r="C53" s="283">
        <v>45733</v>
      </c>
      <c r="D53" s="377">
        <f>[31]March_2025!$T$13</f>
        <v>196.39999999999998</v>
      </c>
      <c r="E53" s="378"/>
      <c r="F53" s="379">
        <f>SUM([32]STAG!$L$24:$L$27)</f>
        <v>183.2</v>
      </c>
      <c r="G53" s="303">
        <f>[31]March_2025!$T$17</f>
        <v>173.9</v>
      </c>
      <c r="H53" s="320">
        <f>(D53-F53)/D53*100</f>
        <v>6.7209775967413403</v>
      </c>
      <c r="I53" s="322">
        <f>((F53+E53)-G53)/(F53+E53)*100</f>
        <v>5.0764192139737903</v>
      </c>
      <c r="J53" s="390" t="s">
        <v>168</v>
      </c>
      <c r="K53" s="433">
        <f>[33]March_2025!$T$25</f>
        <v>0.86950000000000005</v>
      </c>
      <c r="L53" s="314">
        <f>(((D53+E53)-G53)/(D53+E53))*100</f>
        <v>11.456211812627277</v>
      </c>
      <c r="M53" s="357" t="s">
        <v>192</v>
      </c>
      <c r="N53" s="13"/>
      <c r="O53" s="13"/>
      <c r="P53" s="50"/>
      <c r="T53" s="272" t="s">
        <v>54</v>
      </c>
      <c r="U53" s="279"/>
      <c r="V53" s="279"/>
      <c r="W53" s="279"/>
      <c r="X53" s="279"/>
      <c r="Y53" s="279"/>
      <c r="Z53" s="279"/>
      <c r="AA53" s="279"/>
      <c r="AB53" s="279"/>
      <c r="AC53" s="279"/>
      <c r="AD53" s="279"/>
      <c r="AE53" s="279"/>
      <c r="AF53" s="279"/>
      <c r="AG53" s="279"/>
      <c r="AH53" s="279"/>
      <c r="AI53" s="279"/>
      <c r="AJ53" s="279"/>
      <c r="AK53" s="279"/>
      <c r="AL53" s="279"/>
      <c r="AM53" s="279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  <c r="AX53" s="279"/>
    </row>
    <row r="54" spans="2:58" s="54" customFormat="1" ht="18.75" hidden="1" customHeight="1">
      <c r="B54" s="387"/>
      <c r="C54" s="283"/>
      <c r="D54" s="279"/>
      <c r="E54" s="279"/>
      <c r="F54" s="279"/>
      <c r="G54" s="279"/>
      <c r="H54" s="320"/>
      <c r="I54" s="322"/>
      <c r="J54" s="389"/>
      <c r="K54" s="434"/>
      <c r="L54" s="314"/>
      <c r="M54" s="384"/>
      <c r="N54" s="13"/>
      <c r="O54" s="13"/>
      <c r="P54" s="50"/>
      <c r="T54" s="272" t="s">
        <v>51</v>
      </c>
      <c r="U54" s="57" t="e">
        <f>[20]January_2019!D8</f>
        <v>#DIV/0!</v>
      </c>
      <c r="V54" s="57">
        <f>[20]January_2019!E8</f>
        <v>1.0319298245614037</v>
      </c>
      <c r="W54" s="57">
        <f>[20]January_2019!F8</f>
        <v>1.7789473684210526</v>
      </c>
      <c r="X54" s="57">
        <f>[20]January_2019!G8</f>
        <v>0.51929824561403504</v>
      </c>
      <c r="Y54" s="57" t="e">
        <f>[20]January_2019!H8</f>
        <v>#DIV/0!</v>
      </c>
      <c r="Z54" s="57" t="e">
        <f>[20]January_2019!I8</f>
        <v>#DIV/0!</v>
      </c>
      <c r="AA54" s="57">
        <f>[20]January_2019!J8</f>
        <v>1.365263157894737</v>
      </c>
      <c r="AB54" s="57" t="e">
        <f>[20]January_2019!K8</f>
        <v>#DIV/0!</v>
      </c>
      <c r="AC54" s="57">
        <f>[20]January_2019!L8</f>
        <v>1.0028070175438597</v>
      </c>
      <c r="AD54" s="57">
        <f>[20]January_2019!M8</f>
        <v>1.7828070175438597</v>
      </c>
      <c r="AE54" s="57" t="e">
        <f>[20]January_2019!N8</f>
        <v>#DIV/0!</v>
      </c>
      <c r="AF54" s="57" t="e">
        <f>[20]January_2019!O8</f>
        <v>#DIV/0!</v>
      </c>
      <c r="AG54" s="57">
        <f>[20]January_2019!P8</f>
        <v>0.19222222222222221</v>
      </c>
      <c r="AH54" s="57">
        <f>[20]January_2019!Q8</f>
        <v>0.52219298245614032</v>
      </c>
      <c r="AI54" s="57">
        <f>[20]January_2019!R8</f>
        <v>0.42912280701754385</v>
      </c>
      <c r="AJ54" s="57" t="e">
        <f>[20]January_2019!S8</f>
        <v>#DIV/0!</v>
      </c>
      <c r="AK54" s="57">
        <f>[20]January_2019!T8</f>
        <v>1.0340350877192983</v>
      </c>
      <c r="AL54" s="57">
        <f>[20]January_2019!U8</f>
        <v>0.98421052631578942</v>
      </c>
      <c r="AM54" s="57" t="e">
        <f>[20]January_2019!V8</f>
        <v>#DIV/0!</v>
      </c>
      <c r="AN54" s="57" t="e">
        <f>[20]January_2019!W8</f>
        <v>#DIV/0!</v>
      </c>
      <c r="AO54" s="57">
        <f>[20]January_2019!X8</f>
        <v>0.66052631578947374</v>
      </c>
      <c r="AP54" s="57">
        <f>[20]January_2019!Y8</f>
        <v>1.0375438596491227</v>
      </c>
      <c r="AQ54" s="57">
        <f>[20]January_2019!Z8</f>
        <v>0.90456140350877201</v>
      </c>
      <c r="AR54" s="57">
        <f>[20]January_2019!AA8</f>
        <v>1.0217543859649123</v>
      </c>
      <c r="AS54" s="57">
        <f>[20]January_2019!AB8</f>
        <v>0.65614035087719302</v>
      </c>
      <c r="AT54" s="57" t="e">
        <f>[20]January_2019!AC8</f>
        <v>#DIV/0!</v>
      </c>
      <c r="AU54" s="57" t="e">
        <f>[20]January_2019!AD8</f>
        <v>#DIV/0!</v>
      </c>
      <c r="AV54" s="57">
        <f>[20]January_2019!AE8</f>
        <v>1.7021052631578948</v>
      </c>
      <c r="AW54" s="57">
        <f>[20]January_2019!AF8</f>
        <v>0.60192982456140354</v>
      </c>
      <c r="AX54" s="57">
        <f>[20]January_2019!AG8</f>
        <v>1.4870175438596491</v>
      </c>
      <c r="AY54" s="277" t="e">
        <f>[20]January_2019!AH8</f>
        <v>#DIV/0!</v>
      </c>
      <c r="AZ54" s="277"/>
      <c r="BA54" s="277"/>
      <c r="BB54" s="277"/>
      <c r="BC54" s="277"/>
      <c r="BD54" s="277"/>
      <c r="BE54" s="277"/>
      <c r="BF54" s="277"/>
    </row>
    <row r="55" spans="2:58" s="54" customFormat="1" ht="14.4" thickBot="1">
      <c r="B55" s="361"/>
      <c r="C55" s="283"/>
      <c r="D55" s="304"/>
      <c r="E55" s="279"/>
      <c r="F55" s="279"/>
      <c r="G55" s="279"/>
      <c r="H55" s="381"/>
      <c r="I55" s="382"/>
      <c r="J55" s="389"/>
      <c r="K55" s="376"/>
      <c r="L55" s="314"/>
      <c r="M55" s="354"/>
      <c r="N55" s="13"/>
      <c r="O55" s="13"/>
      <c r="P55" s="50"/>
      <c r="T55" s="272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277"/>
      <c r="AZ55" s="277"/>
      <c r="BA55" s="277"/>
      <c r="BB55" s="277"/>
      <c r="BC55" s="277"/>
      <c r="BD55" s="277"/>
      <c r="BE55" s="277"/>
      <c r="BF55" s="277"/>
    </row>
    <row r="56" spans="2:58" ht="11.4" hidden="1" customHeight="1" thickBot="1">
      <c r="B56" s="33"/>
      <c r="C56" s="310"/>
      <c r="D56" s="279"/>
      <c r="E56" s="279"/>
      <c r="F56" s="279"/>
      <c r="G56" s="279"/>
      <c r="H56" s="352"/>
      <c r="I56" s="353"/>
      <c r="J56" s="281"/>
      <c r="K56" s="52"/>
      <c r="L56" s="53"/>
      <c r="M56" s="55"/>
      <c r="N56" s="77"/>
      <c r="O56" s="13"/>
      <c r="P56" s="56"/>
    </row>
    <row r="57" spans="2:58" ht="14.4" thickBot="1">
      <c r="B57" s="58"/>
      <c r="C57" s="309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56"/>
      <c r="P57" s="60"/>
    </row>
    <row r="58" spans="2:58" ht="14.4" thickBot="1">
      <c r="B58" s="517" t="s">
        <v>55</v>
      </c>
      <c r="C58" s="518"/>
      <c r="D58" s="518"/>
      <c r="E58" s="518"/>
      <c r="F58" s="519"/>
      <c r="G58" s="517" t="s">
        <v>56</v>
      </c>
      <c r="H58" s="518"/>
      <c r="I58" s="518"/>
      <c r="J58" s="519"/>
      <c r="K58" s="517" t="s">
        <v>51</v>
      </c>
      <c r="L58" s="518"/>
      <c r="M58" s="518"/>
      <c r="N58" s="520"/>
      <c r="O58" s="56"/>
      <c r="P58" s="50"/>
    </row>
    <row r="59" spans="2:58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8">
      <c r="B60" s="29" t="s">
        <v>6</v>
      </c>
      <c r="C60" s="65"/>
      <c r="D60" s="76">
        <v>7.6525944321003871</v>
      </c>
      <c r="E60" s="76">
        <v>7.1115511257453159</v>
      </c>
      <c r="F60" s="66">
        <v>4.8</v>
      </c>
      <c r="G60" s="65"/>
      <c r="H60" s="76">
        <v>8.0556472206112915</v>
      </c>
      <c r="I60" s="76">
        <v>7.5541467102730548</v>
      </c>
      <c r="J60" s="66">
        <v>4.8</v>
      </c>
      <c r="K60" s="67"/>
      <c r="L60" s="194">
        <v>0.7589257636428437</v>
      </c>
      <c r="M60" s="194">
        <v>0.82448383178191487</v>
      </c>
      <c r="N60" s="68">
        <v>1</v>
      </c>
      <c r="O60" s="56"/>
      <c r="P60" s="69"/>
    </row>
    <row r="61" spans="2:58">
      <c r="B61" s="33" t="s">
        <v>9</v>
      </c>
      <c r="C61" s="65">
        <f>L53</f>
        <v>11.456211812627277</v>
      </c>
      <c r="D61" s="76">
        <v>9.8030882561269372</v>
      </c>
      <c r="E61" s="76">
        <v>7.2780659293832386</v>
      </c>
      <c r="F61" s="66">
        <v>4.8</v>
      </c>
      <c r="G61" s="65">
        <f>[31]March_2025!$T$21</f>
        <v>12.236645843124954</v>
      </c>
      <c r="H61" s="76">
        <v>10.799414933285563</v>
      </c>
      <c r="I61" s="76">
        <v>7.5354423877830801</v>
      </c>
      <c r="J61" s="66">
        <v>4.8</v>
      </c>
      <c r="K61" s="67">
        <f>K53</f>
        <v>0.86950000000000005</v>
      </c>
      <c r="L61" s="194">
        <v>0.71521533684352634</v>
      </c>
      <c r="M61" s="194">
        <v>0.70952024552747162</v>
      </c>
      <c r="N61" s="68">
        <v>1</v>
      </c>
      <c r="P61" s="69"/>
    </row>
    <row r="62" spans="2:58">
      <c r="B62" s="34" t="s">
        <v>40</v>
      </c>
      <c r="C62" s="65"/>
      <c r="D62" s="76">
        <v>7.5445173383317687</v>
      </c>
      <c r="E62" s="76">
        <v>12.682396771189062</v>
      </c>
      <c r="F62" s="66">
        <v>5.5</v>
      </c>
      <c r="G62" s="65"/>
      <c r="H62" s="76">
        <v>8.3720217865482667</v>
      </c>
      <c r="I62" s="76">
        <v>14.322773542755614</v>
      </c>
      <c r="J62" s="66">
        <v>5.5</v>
      </c>
      <c r="K62" s="67"/>
      <c r="L62" s="194">
        <v>0.98650000000000004</v>
      </c>
      <c r="M62" s="194">
        <v>0.56862100456621001</v>
      </c>
      <c r="N62" s="68">
        <v>1</v>
      </c>
      <c r="P62" s="69"/>
    </row>
    <row r="63" spans="2:58">
      <c r="B63" s="22" t="s">
        <v>33</v>
      </c>
      <c r="C63" s="65"/>
      <c r="D63" s="76"/>
      <c r="E63" s="76">
        <v>3.9190537266638161</v>
      </c>
      <c r="F63" s="66">
        <v>3.3</v>
      </c>
      <c r="G63" s="65"/>
      <c r="H63" s="76"/>
      <c r="I63" s="76">
        <v>5.345661717473071</v>
      </c>
      <c r="J63" s="66">
        <v>3.3</v>
      </c>
      <c r="K63" s="67"/>
      <c r="L63" s="194"/>
      <c r="M63" s="194">
        <v>0.78853801169590654</v>
      </c>
      <c r="N63" s="68">
        <v>1</v>
      </c>
      <c r="P63" s="69"/>
    </row>
    <row r="64" spans="2:58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8.7664670658682695</v>
      </c>
      <c r="F65" s="70">
        <f>[21]May_2022!$M$43</f>
        <v>3.4878406700073312</v>
      </c>
      <c r="G65" s="282"/>
      <c r="H65" s="76"/>
      <c r="I65" s="76">
        <v>10.607235567685406</v>
      </c>
      <c r="J65" s="66">
        <v>5.5</v>
      </c>
      <c r="K65" s="67"/>
      <c r="L65" s="194"/>
      <c r="M65" s="194">
        <v>0.66824561403508764</v>
      </c>
      <c r="N65" s="68">
        <v>1</v>
      </c>
      <c r="P65" s="69"/>
    </row>
    <row r="66" spans="2:16">
      <c r="B66" s="37" t="s">
        <v>16</v>
      </c>
      <c r="C66" s="65"/>
      <c r="D66" s="76">
        <v>3.0622243998040313</v>
      </c>
      <c r="E66" s="76">
        <v>2.5618217399039276</v>
      </c>
      <c r="F66" s="66">
        <v>3.3</v>
      </c>
      <c r="G66" s="282"/>
      <c r="H66" s="76">
        <v>4.90230047253743</v>
      </c>
      <c r="I66" s="76">
        <v>4.6996399261015078</v>
      </c>
      <c r="J66" s="66">
        <v>3.3</v>
      </c>
      <c r="K66" s="67"/>
      <c r="L66" s="194">
        <v>0.98924999999999996</v>
      </c>
      <c r="M66" s="194">
        <v>0.86251968503937015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37" t="s">
        <v>165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7.5200335934492806</v>
      </c>
      <c r="E69" s="76">
        <v>7.1586062241330888</v>
      </c>
      <c r="F69" s="341">
        <v>4.5</v>
      </c>
      <c r="H69" s="76">
        <v>8.0929763749179031</v>
      </c>
      <c r="I69" s="76">
        <v>7.9513030310840351</v>
      </c>
      <c r="J69" s="341">
        <v>4.5</v>
      </c>
      <c r="L69" s="194">
        <v>0.7974506283662478</v>
      </c>
      <c r="M69" s="194">
        <v>0.7585453034081463</v>
      </c>
      <c r="N69" s="386">
        <v>1</v>
      </c>
    </row>
    <row r="73" spans="2:16">
      <c r="F73" s="315"/>
    </row>
    <row r="81" spans="30:30">
      <c r="AD81" s="275" t="s">
        <v>57</v>
      </c>
    </row>
  </sheetData>
  <mergeCells count="52">
    <mergeCell ref="M51:M52"/>
    <mergeCell ref="B58:F58"/>
    <mergeCell ref="G58:J58"/>
    <mergeCell ref="K58:N58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V1:W1"/>
    <mergeCell ref="X1:Y1"/>
    <mergeCell ref="Z1:AA1"/>
    <mergeCell ref="B2:O2"/>
    <mergeCell ref="C5:D5"/>
    <mergeCell ref="M4:N4"/>
    <mergeCell ref="T1:U1"/>
  </mergeCells>
  <conditionalFormatting sqref="B46:B47">
    <cfRule type="cellIs" dxfId="1564" priority="105" operator="notBetween">
      <formula>#REF!</formula>
      <formula>#REF!</formula>
    </cfRule>
  </conditionalFormatting>
  <conditionalFormatting sqref="C50">
    <cfRule type="cellIs" dxfId="1563" priority="137" stopIfTrue="1" operator="greaterThan">
      <formula>100</formula>
    </cfRule>
    <cfRule type="cellIs" dxfId="1562" priority="136" stopIfTrue="1" operator="lessThan">
      <formula>96</formula>
    </cfRule>
  </conditionalFormatting>
  <conditionalFormatting sqref="C60">
    <cfRule type="cellIs" dxfId="1561" priority="56" stopIfTrue="1" operator="greaterThan">
      <formula>$F60</formula>
    </cfRule>
  </conditionalFormatting>
  <conditionalFormatting sqref="C60:C61">
    <cfRule type="cellIs" dxfId="1560" priority="57" stopIfTrue="1" operator="lessThanOrEqual">
      <formula>0</formula>
    </cfRule>
  </conditionalFormatting>
  <conditionalFormatting sqref="C61">
    <cfRule type="cellIs" dxfId="1559" priority="140" stopIfTrue="1" operator="greaterThan">
      <formula>$F60</formula>
    </cfRule>
  </conditionalFormatting>
  <conditionalFormatting sqref="C62:C64">
    <cfRule type="cellIs" dxfId="1558" priority="81" stopIfTrue="1" operator="greaterThan">
      <formula>$F62</formula>
    </cfRule>
  </conditionalFormatting>
  <conditionalFormatting sqref="C62:C65">
    <cfRule type="cellIs" dxfId="1557" priority="85" stopIfTrue="1" operator="lessThanOrEqual">
      <formula>0</formula>
    </cfRule>
  </conditionalFormatting>
  <conditionalFormatting sqref="C65">
    <cfRule type="cellIs" dxfId="1556" priority="84" stopIfTrue="1" operator="greaterThan">
      <formula>$J65</formula>
    </cfRule>
  </conditionalFormatting>
  <conditionalFormatting sqref="C71:C75">
    <cfRule type="cellIs" dxfId="1555" priority="128" stopIfTrue="1" operator="lessThanOrEqual">
      <formula>0</formula>
    </cfRule>
  </conditionalFormatting>
  <conditionalFormatting sqref="C72:C75">
    <cfRule type="cellIs" dxfId="1554" priority="127" stopIfTrue="1" operator="greaterThan">
      <formula>$F$71</formula>
    </cfRule>
  </conditionalFormatting>
  <conditionalFormatting sqref="C77">
    <cfRule type="cellIs" dxfId="1553" priority="130" stopIfTrue="1" operator="lessThanOrEqual">
      <formula>0</formula>
    </cfRule>
    <cfRule type="cellIs" dxfId="1552" priority="129" stopIfTrue="1" operator="greaterThan">
      <formula>$F$71</formula>
    </cfRule>
  </conditionalFormatting>
  <conditionalFormatting sqref="C71:D71 D73:D79">
    <cfRule type="cellIs" dxfId="1551" priority="122" stopIfTrue="1" operator="greaterThan">
      <formula>4.5</formula>
    </cfRule>
  </conditionalFormatting>
  <conditionalFormatting sqref="D46:D47">
    <cfRule type="cellIs" dxfId="1550" priority="106" operator="notBetween">
      <formula>#REF!</formula>
      <formula>#REF!</formula>
    </cfRule>
  </conditionalFormatting>
  <conditionalFormatting sqref="D60:D67">
    <cfRule type="cellIs" dxfId="1549" priority="95" stopIfTrue="1" operator="lessThanOrEqual">
      <formula>0</formula>
    </cfRule>
  </conditionalFormatting>
  <conditionalFormatting sqref="D68">
    <cfRule type="cellIs" dxfId="1548" priority="94" stopIfTrue="1" operator="lessThanOrEqual">
      <formula>0</formula>
    </cfRule>
  </conditionalFormatting>
  <conditionalFormatting sqref="D71 D73:D79">
    <cfRule type="cellIs" dxfId="1547" priority="123" stopIfTrue="1" operator="lessThanOrEqual">
      <formula>0</formula>
    </cfRule>
  </conditionalFormatting>
  <conditionalFormatting sqref="D72">
    <cfRule type="cellIs" dxfId="1546" priority="115" stopIfTrue="1" operator="lessThanOrEqual">
      <formula>0</formula>
    </cfRule>
    <cfRule type="cellIs" dxfId="1545" priority="114" stopIfTrue="1" operator="greaterThan">
      <formula>$F$71</formula>
    </cfRule>
  </conditionalFormatting>
  <conditionalFormatting sqref="D60:E69">
    <cfRule type="cellIs" dxfId="1544" priority="41" stopIfTrue="1" operator="greaterThan">
      <formula>$F60</formula>
    </cfRule>
  </conditionalFormatting>
  <conditionalFormatting sqref="D69:E69">
    <cfRule type="cellIs" dxfId="1543" priority="42" stopIfTrue="1" operator="lessThanOrEqual">
      <formula>0</formula>
    </cfRule>
  </conditionalFormatting>
  <conditionalFormatting sqref="E10:E21">
    <cfRule type="cellIs" dxfId="1542" priority="32" operator="lessThan">
      <formula>48</formula>
    </cfRule>
  </conditionalFormatting>
  <conditionalFormatting sqref="E50">
    <cfRule type="cellIs" dxfId="1541" priority="117" stopIfTrue="1" operator="greaterThan">
      <formula>100</formula>
    </cfRule>
    <cfRule type="cellIs" dxfId="1540" priority="116" stopIfTrue="1" operator="lessThan">
      <formula>96.8</formula>
    </cfRule>
  </conditionalFormatting>
  <conditionalFormatting sqref="E60:E68">
    <cfRule type="cellIs" dxfId="1539" priority="89" stopIfTrue="1" operator="lessThanOrEqual">
      <formula>0</formula>
    </cfRule>
  </conditionalFormatting>
  <conditionalFormatting sqref="E71:E79">
    <cfRule type="cellIs" dxfId="1538" priority="109" stopIfTrue="1" operator="lessThanOrEqual">
      <formula>0</formula>
    </cfRule>
    <cfRule type="cellIs" dxfId="1537" priority="108" stopIfTrue="1" operator="greaterThan">
      <formula>4.5</formula>
    </cfRule>
  </conditionalFormatting>
  <conditionalFormatting sqref="E49:F50">
    <cfRule type="cellIs" dxfId="1536" priority="119" stopIfTrue="1" operator="greaterThan">
      <formula>100</formula>
    </cfRule>
    <cfRule type="cellIs" dxfId="1535" priority="118" stopIfTrue="1" operator="lessThan">
      <formula>96.5</formula>
    </cfRule>
  </conditionalFormatting>
  <conditionalFormatting sqref="F10:F20">
    <cfRule type="cellIs" dxfId="1534" priority="34" operator="greaterThan">
      <formula>60</formula>
    </cfRule>
  </conditionalFormatting>
  <conditionalFormatting sqref="F21">
    <cfRule type="cellIs" dxfId="1533" priority="143" operator="greaterThan">
      <formula>$AA21</formula>
    </cfRule>
    <cfRule type="cellIs" dxfId="1532" priority="144" operator="greaterThan">
      <formula>$AA57</formula>
    </cfRule>
  </conditionalFormatting>
  <conditionalFormatting sqref="F50">
    <cfRule type="cellIs" dxfId="1531" priority="135" stopIfTrue="1" operator="greaterThan">
      <formula>100</formula>
    </cfRule>
    <cfRule type="cellIs" dxfId="1530" priority="134" stopIfTrue="1" operator="lessThan">
      <formula>96.8</formula>
    </cfRule>
  </conditionalFormatting>
  <conditionalFormatting sqref="F69">
    <cfRule type="cellIs" dxfId="1529" priority="90" stopIfTrue="1" operator="greaterThan">
      <formula>$F69</formula>
    </cfRule>
    <cfRule type="cellIs" dxfId="1528" priority="91" stopIfTrue="1" operator="lessThanOrEqual">
      <formula>0</formula>
    </cfRule>
  </conditionalFormatting>
  <conditionalFormatting sqref="G60:G61 C66:C68">
    <cfRule type="cellIs" dxfId="1527" priority="97" stopIfTrue="1" operator="lessThanOrEqual">
      <formula>0</formula>
    </cfRule>
    <cfRule type="cellIs" dxfId="1526" priority="96" stopIfTrue="1" operator="greaterThan">
      <formula>$F60</formula>
    </cfRule>
  </conditionalFormatting>
  <conditionalFormatting sqref="G60:G61">
    <cfRule type="cellIs" dxfId="1525" priority="62" stopIfTrue="1" operator="greaterThan">
      <formula>$F60</formula>
    </cfRule>
    <cfRule type="cellIs" dxfId="1524" priority="63" stopIfTrue="1" operator="lessThanOrEqual">
      <formula>0</formula>
    </cfRule>
  </conditionalFormatting>
  <conditionalFormatting sqref="G62">
    <cfRule type="cellIs" dxfId="1523" priority="139" stopIfTrue="1" operator="lessThanOrEqual">
      <formula>0</formula>
    </cfRule>
    <cfRule type="cellIs" dxfId="1522" priority="138" stopIfTrue="1" operator="greaterThan">
      <formula>$F61</formula>
    </cfRule>
  </conditionalFormatting>
  <conditionalFormatting sqref="G63">
    <cfRule type="cellIs" dxfId="1521" priority="93" stopIfTrue="1" operator="lessThanOrEqual">
      <formula>0</formula>
    </cfRule>
    <cfRule type="cellIs" dxfId="1520" priority="92" stopIfTrue="1" operator="greaterThan">
      <formula>$F63</formula>
    </cfRule>
  </conditionalFormatting>
  <conditionalFormatting sqref="G64:G68">
    <cfRule type="cellIs" dxfId="1519" priority="99" stopIfTrue="1" operator="lessThanOrEqual">
      <formula>0</formula>
    </cfRule>
    <cfRule type="cellIs" dxfId="1518" priority="98" stopIfTrue="1" operator="greaterThan">
      <formula>$J64</formula>
    </cfRule>
  </conditionalFormatting>
  <conditionalFormatting sqref="G73:G78 C76 C78">
    <cfRule type="cellIs" dxfId="1517" priority="132" stopIfTrue="1" operator="lessThanOrEqual">
      <formula>0</formula>
    </cfRule>
    <cfRule type="cellIs" dxfId="1516" priority="131" stopIfTrue="1" operator="greaterThan">
      <formula>4.5</formula>
    </cfRule>
  </conditionalFormatting>
  <conditionalFormatting sqref="G10:H21">
    <cfRule type="expression" dxfId="1515" priority="11">
      <formula>IF(+(IF(G10&lt;#REF!,0,IF(G10&gt;#REF!,0,1)))=0,1)</formula>
    </cfRule>
  </conditionalFormatting>
  <conditionalFormatting sqref="G72:H72">
    <cfRule type="cellIs" dxfId="1514" priority="113" stopIfTrue="1" operator="lessThanOrEqual">
      <formula>0</formula>
    </cfRule>
    <cfRule type="cellIs" dxfId="1513" priority="112" stopIfTrue="1" operator="greaterThan">
      <formula>$F$71</formula>
    </cfRule>
  </conditionalFormatting>
  <conditionalFormatting sqref="H35:H48 G36:G47">
    <cfRule type="cellIs" dxfId="1512" priority="110" stopIfTrue="1" operator="greaterThan">
      <formula>0</formula>
    </cfRule>
  </conditionalFormatting>
  <conditionalFormatting sqref="H53">
    <cfRule type="cellIs" dxfId="1511" priority="25" stopIfTrue="1" operator="lessThanOrEqual">
      <formula>0</formula>
    </cfRule>
    <cfRule type="cellIs" dxfId="1510" priority="13" stopIfTrue="1" operator="lessThanOrEqual">
      <formula>0</formula>
    </cfRule>
    <cfRule type="cellIs" dxfId="1509" priority="14" stopIfTrue="1" operator="greaterThan">
      <formula>$F$34</formula>
    </cfRule>
    <cfRule type="cellIs" dxfId="1508" priority="22" stopIfTrue="1" operator="greaterThan">
      <formula>$F$37</formula>
    </cfRule>
    <cfRule type="cellIs" dxfId="1507" priority="23" stopIfTrue="1" operator="lessThanOrEqual">
      <formula>0</formula>
    </cfRule>
    <cfRule type="cellIs" dxfId="1506" priority="24" stopIfTrue="1" operator="greaterThan">
      <formula>$F$35</formula>
    </cfRule>
  </conditionalFormatting>
  <conditionalFormatting sqref="H54">
    <cfRule type="cellIs" dxfId="1505" priority="69" stopIfTrue="1" operator="greaterThan">
      <formula>$F$59</formula>
    </cfRule>
    <cfRule type="cellIs" dxfId="1504" priority="79" stopIfTrue="1" operator="greaterThan">
      <formula>$F$60</formula>
    </cfRule>
    <cfRule type="cellIs" dxfId="1503" priority="68" stopIfTrue="1" operator="lessThanOrEqual">
      <formula>0</formula>
    </cfRule>
    <cfRule type="cellIs" dxfId="1502" priority="77" stopIfTrue="1" operator="greaterThan">
      <formula>$F$62</formula>
    </cfRule>
    <cfRule type="cellIs" dxfId="1501" priority="78" stopIfTrue="1" operator="lessThanOrEqual">
      <formula>0</formula>
    </cfRule>
    <cfRule type="cellIs" dxfId="1500" priority="80" stopIfTrue="1" operator="lessThanOrEqual">
      <formula>0</formula>
    </cfRule>
  </conditionalFormatting>
  <conditionalFormatting sqref="H55">
    <cfRule type="cellIs" dxfId="1499" priority="45" stopIfTrue="1" operator="lessThanOrEqual">
      <formula>0</formula>
    </cfRule>
    <cfRule type="cellIs" dxfId="1498" priority="46" stopIfTrue="1" operator="greaterThan">
      <formula>#REF!</formula>
    </cfRule>
    <cfRule type="cellIs" dxfId="1497" priority="55" stopIfTrue="1" operator="lessThanOrEqual">
      <formula>0</formula>
    </cfRule>
    <cfRule type="cellIs" dxfId="1496" priority="54" stopIfTrue="1" operator="greaterThan">
      <formula>#REF!</formula>
    </cfRule>
  </conditionalFormatting>
  <conditionalFormatting sqref="H56">
    <cfRule type="cellIs" dxfId="1495" priority="101" stopIfTrue="1" operator="greaterThan">
      <formula>$F$57</formula>
    </cfRule>
    <cfRule type="cellIs" dxfId="1494" priority="102" stopIfTrue="1" operator="lessThanOrEqual">
      <formula>0</formula>
    </cfRule>
    <cfRule type="cellIs" dxfId="1493" priority="103" stopIfTrue="1" operator="greaterThan">
      <formula>$F$55</formula>
    </cfRule>
    <cfRule type="cellIs" dxfId="1492" priority="104" stopIfTrue="1" operator="lessThanOrEqual">
      <formula>0</formula>
    </cfRule>
  </conditionalFormatting>
  <conditionalFormatting sqref="H60:H67">
    <cfRule type="cellIs" dxfId="1491" priority="83" stopIfTrue="1" operator="lessThanOrEqual">
      <formula>0</formula>
    </cfRule>
    <cfRule type="cellIs" dxfId="1490" priority="82" stopIfTrue="1" operator="greaterThan">
      <formula>$J60</formula>
    </cfRule>
  </conditionalFormatting>
  <conditionalFormatting sqref="H68">
    <cfRule type="cellIs" dxfId="1489" priority="86" operator="greaterThan">
      <formula>5.3</formula>
    </cfRule>
  </conditionalFormatting>
  <conditionalFormatting sqref="H71 H73:H79">
    <cfRule type="cellIs" dxfId="1488" priority="125" stopIfTrue="1" operator="lessThanOrEqual">
      <formula>0</formula>
    </cfRule>
    <cfRule type="cellIs" dxfId="1487" priority="124" stopIfTrue="1" operator="greaterThan">
      <formula>4.5</formula>
    </cfRule>
  </conditionalFormatting>
  <conditionalFormatting sqref="H53:I53">
    <cfRule type="cellIs" dxfId="1486" priority="15" stopIfTrue="1" operator="lessThanOrEqual">
      <formula>0</formula>
    </cfRule>
    <cfRule type="cellIs" dxfId="1485" priority="12" stopIfTrue="1" operator="greaterThan">
      <formula>$F$36</formula>
    </cfRule>
  </conditionalFormatting>
  <conditionalFormatting sqref="H54:I54">
    <cfRule type="cellIs" dxfId="1484" priority="70" stopIfTrue="1" operator="lessThanOrEqual">
      <formula>0</formula>
    </cfRule>
    <cfRule type="cellIs" dxfId="1483" priority="67" stopIfTrue="1" operator="greaterThan">
      <formula>$F$61</formula>
    </cfRule>
  </conditionalFormatting>
  <conditionalFormatting sqref="H55:I55">
    <cfRule type="cellIs" dxfId="1482" priority="50" stopIfTrue="1" operator="greaterThan">
      <formula>#REF!</formula>
    </cfRule>
    <cfRule type="cellIs" dxfId="1481" priority="44" stopIfTrue="1" operator="greaterThan">
      <formula>#REF!</formula>
    </cfRule>
    <cfRule type="cellIs" dxfId="1480" priority="47" stopIfTrue="1" operator="lessThanOrEqual">
      <formula>0</formula>
    </cfRule>
    <cfRule type="cellIs" dxfId="1479" priority="53" stopIfTrue="1" operator="lessThanOrEqual">
      <formula>0</formula>
    </cfRule>
  </conditionalFormatting>
  <conditionalFormatting sqref="H69:I69">
    <cfRule type="cellIs" dxfId="1478" priority="40" stopIfTrue="1" operator="lessThanOrEqual">
      <formula>0</formula>
    </cfRule>
    <cfRule type="cellIs" dxfId="1477" priority="39" stopIfTrue="1" operator="greaterThan">
      <formula>$J69</formula>
    </cfRule>
  </conditionalFormatting>
  <conditionalFormatting sqref="I21">
    <cfRule type="cellIs" dxfId="1476" priority="58" operator="lessThan">
      <formula>97.8</formula>
    </cfRule>
    <cfRule type="cellIs" dxfId="1475" priority="61" operator="lessThan">
      <formula>98</formula>
    </cfRule>
  </conditionalFormatting>
  <conditionalFormatting sqref="I53">
    <cfRule type="cellIs" dxfId="1474" priority="18" stopIfTrue="1" operator="greaterThan">
      <formula>$F$36</formula>
    </cfRule>
    <cfRule type="cellIs" dxfId="1473" priority="20" stopIfTrue="1" operator="greaterThan">
      <formula>$F$34</formula>
    </cfRule>
    <cfRule type="cellIs" dxfId="1472" priority="21" stopIfTrue="1" operator="lessThanOrEqual">
      <formula>0</formula>
    </cfRule>
    <cfRule type="cellIs" dxfId="1471" priority="19" stopIfTrue="1" operator="lessThanOrEqual">
      <formula>0</formula>
    </cfRule>
    <cfRule type="cellIs" dxfId="1470" priority="16" stopIfTrue="1" operator="greaterThan">
      <formula>$F$34</formula>
    </cfRule>
    <cfRule type="cellIs" dxfId="1469" priority="17" stopIfTrue="1" operator="lessThanOrEqual">
      <formula>0</formula>
    </cfRule>
  </conditionalFormatting>
  <conditionalFormatting sqref="I54">
    <cfRule type="cellIs" dxfId="1468" priority="74" stopIfTrue="1" operator="lessThanOrEqual">
      <formula>0</formula>
    </cfRule>
    <cfRule type="cellIs" dxfId="1467" priority="73" stopIfTrue="1" operator="greaterThan">
      <formula>$F$61</formula>
    </cfRule>
    <cfRule type="cellIs" dxfId="1466" priority="71" stopIfTrue="1" operator="greaterThan">
      <formula>$F$59</formula>
    </cfRule>
    <cfRule type="cellIs" dxfId="1465" priority="72" stopIfTrue="1" operator="lessThanOrEqual">
      <formula>0</formula>
    </cfRule>
    <cfRule type="cellIs" dxfId="1464" priority="76" stopIfTrue="1" operator="lessThanOrEqual">
      <formula>0</formula>
    </cfRule>
    <cfRule type="cellIs" dxfId="1463" priority="75" stopIfTrue="1" operator="greaterThan">
      <formula>$F$59</formula>
    </cfRule>
  </conditionalFormatting>
  <conditionalFormatting sqref="I55">
    <cfRule type="cellIs" dxfId="1462" priority="51" stopIfTrue="1" operator="lessThanOrEqual">
      <formula>0</formula>
    </cfRule>
    <cfRule type="cellIs" dxfId="1461" priority="49" stopIfTrue="1" operator="lessThanOrEqual">
      <formula>0</formula>
    </cfRule>
    <cfRule type="cellIs" dxfId="1460" priority="48" stopIfTrue="1" operator="greaterThan">
      <formula>#REF!</formula>
    </cfRule>
    <cfRule type="cellIs" dxfId="1459" priority="52" stopIfTrue="1" operator="greaterThan">
      <formula>#REF!</formula>
    </cfRule>
  </conditionalFormatting>
  <conditionalFormatting sqref="I60:I68">
    <cfRule type="cellIs" dxfId="1458" priority="88" stopIfTrue="1" operator="lessThanOrEqual">
      <formula>0</formula>
    </cfRule>
    <cfRule type="cellIs" dxfId="1457" priority="87" stopIfTrue="1" operator="greaterThan">
      <formula>$J60</formula>
    </cfRule>
  </conditionalFormatting>
  <conditionalFormatting sqref="I71:I79">
    <cfRule type="cellIs" dxfId="1456" priority="121" stopIfTrue="1" operator="lessThanOrEqual">
      <formula>0</formula>
    </cfRule>
    <cfRule type="cellIs" dxfId="1455" priority="120" stopIfTrue="1" operator="greaterThan">
      <formula>4.5</formula>
    </cfRule>
  </conditionalFormatting>
  <conditionalFormatting sqref="I10:J20">
    <cfRule type="cellIs" dxfId="1454" priority="35" operator="lessThan">
      <formula>97.9</formula>
    </cfRule>
  </conditionalFormatting>
  <conditionalFormatting sqref="J21">
    <cfRule type="cellIs" dxfId="1453" priority="59" operator="notBetween">
      <formula>98</formula>
      <formula>99.9</formula>
    </cfRule>
    <cfRule type="cellIs" dxfId="1452" priority="60" operator="lessThan">
      <formula>97.4</formula>
    </cfRule>
  </conditionalFormatting>
  <conditionalFormatting sqref="J24:J26">
    <cfRule type="cellIs" dxfId="1451" priority="4" stopIfTrue="1" operator="lessThan">
      <formula>96.8</formula>
    </cfRule>
    <cfRule type="cellIs" dxfId="1450" priority="5" stopIfTrue="1" operator="greaterThan">
      <formula>100</formula>
    </cfRule>
    <cfRule type="cellIs" dxfId="1449" priority="6" operator="lessThan">
      <formula>98</formula>
    </cfRule>
  </conditionalFormatting>
  <conditionalFormatting sqref="J24:J28">
    <cfRule type="cellIs" dxfId="1448" priority="3" operator="lessThan">
      <formula>97.4</formula>
    </cfRule>
  </conditionalFormatting>
  <conditionalFormatting sqref="J29">
    <cfRule type="cellIs" dxfId="1447" priority="7" operator="lessThan">
      <formula>98</formula>
    </cfRule>
  </conditionalFormatting>
  <conditionalFormatting sqref="J30:J32">
    <cfRule type="cellIs" dxfId="1446" priority="8" stopIfTrue="1" operator="lessThan">
      <formula>96.8</formula>
    </cfRule>
    <cfRule type="cellIs" dxfId="1445" priority="9" stopIfTrue="1" operator="greaterThan">
      <formula>100</formula>
    </cfRule>
  </conditionalFormatting>
  <conditionalFormatting sqref="J30:J33">
    <cfRule type="cellIs" dxfId="1444" priority="10" operator="lessThan">
      <formula>98</formula>
    </cfRule>
  </conditionalFormatting>
  <conditionalFormatting sqref="J69">
    <cfRule type="cellIs" dxfId="1443" priority="36" stopIfTrue="1" operator="greaterThan">
      <formula>$F69</formula>
    </cfRule>
    <cfRule type="cellIs" dxfId="1442" priority="37" stopIfTrue="1" operator="lessThanOrEqual">
      <formula>0</formula>
    </cfRule>
  </conditionalFormatting>
  <conditionalFormatting sqref="K10:K21">
    <cfRule type="cellIs" dxfId="1441" priority="29" operator="lessThan">
      <formula>4</formula>
    </cfRule>
    <cfRule type="cellIs" dxfId="1440" priority="28" operator="greaterThan">
      <formula>6</formula>
    </cfRule>
    <cfRule type="cellIs" dxfId="1439" priority="33" operator="greaterThan">
      <formula>6.4</formula>
    </cfRule>
  </conditionalFormatting>
  <conditionalFormatting sqref="K38:K47">
    <cfRule type="cellIs" dxfId="1438" priority="1" operator="notEqual">
      <formula>#REF!</formula>
    </cfRule>
  </conditionalFormatting>
  <conditionalFormatting sqref="K53:K56 K60:N68">
    <cfRule type="cellIs" dxfId="1437" priority="100" stopIfTrue="1" operator="lessThan">
      <formula>100%</formula>
    </cfRule>
  </conditionalFormatting>
  <conditionalFormatting sqref="K71:K76">
    <cfRule type="cellIs" dxfId="1436" priority="126" stopIfTrue="1" operator="lessThan">
      <formula>100%</formula>
    </cfRule>
  </conditionalFormatting>
  <conditionalFormatting sqref="K78:K79">
    <cfRule type="cellIs" dxfId="1435" priority="133" stopIfTrue="1" operator="lessThan">
      <formula>100%</formula>
    </cfRule>
  </conditionalFormatting>
  <conditionalFormatting sqref="L10:L21">
    <cfRule type="cellIs" dxfId="1434" priority="30" operator="between">
      <formula>61</formula>
      <formula>65</formula>
    </cfRule>
    <cfRule type="cellIs" dxfId="1433" priority="31" operator="greaterThan">
      <formula>65</formula>
    </cfRule>
  </conditionalFormatting>
  <conditionalFormatting sqref="L24:M35">
    <cfRule type="cellIs" dxfId="1432" priority="43" operator="lessThan">
      <formula>98</formula>
    </cfRule>
  </conditionalFormatting>
  <conditionalFormatting sqref="L39:N39">
    <cfRule type="cellIs" dxfId="1431" priority="64" operator="notEqual">
      <formula>#REF!</formula>
    </cfRule>
  </conditionalFormatting>
  <conditionalFormatting sqref="L69:N69">
    <cfRule type="cellIs" dxfId="1430" priority="38" stopIfTrue="1" operator="lessThan">
      <formula>100%</formula>
    </cfRule>
  </conditionalFormatting>
  <conditionalFormatting sqref="L71:N79">
    <cfRule type="cellIs" dxfId="1429" priority="111" stopIfTrue="1" operator="lessThan">
      <formula>100%</formula>
    </cfRule>
  </conditionalFormatting>
  <conditionalFormatting sqref="M10:M21">
    <cfRule type="expression" dxfId="1428" priority="26">
      <formula>IF(+(IF(M10&lt;V10,0,IF(M10&gt;W10,0,1)))=0,1)</formula>
    </cfRule>
  </conditionalFormatting>
  <conditionalFormatting sqref="M6:N6">
    <cfRule type="cellIs" dxfId="1427" priority="65" operator="greaterThanOrEqual">
      <formula>15</formula>
    </cfRule>
    <cfRule type="cellIs" dxfId="1426" priority="66" operator="greaterThanOrEqual">
      <formula>19</formula>
    </cfRule>
  </conditionalFormatting>
  <conditionalFormatting sqref="N10:N21">
    <cfRule type="expression" dxfId="1425" priority="27">
      <formula>IF(+(IF(N10&lt;X10,0,IF(N10&gt;Y10,0,1)))=0,1)</formula>
    </cfRule>
  </conditionalFormatting>
  <conditionalFormatting sqref="N21">
    <cfRule type="expression" dxfId="1424" priority="141">
      <formula>IF(+(IF(N21&lt;X62,0,IF(N21&gt;Y62,0,1)))=0,1)</formula>
    </cfRule>
    <cfRule type="expression" dxfId="1423" priority="142">
      <formula>IF(+(IF(N21&lt;X57,0,IF(N21&gt;Y57,0,1)))=0,1)</formula>
    </cfRule>
  </conditionalFormatting>
  <conditionalFormatting sqref="P6">
    <cfRule type="cellIs" dxfId="1422" priority="107" operator="greaterThanOrEqual">
      <formula>19</formula>
    </cfRule>
  </conditionalFormatting>
  <dataValidations count="1">
    <dataValidation type="list" allowBlank="1" showInputMessage="1" showErrorMessage="1" sqref="S8 B21" xr:uid="{BDEC3818-399C-47B5-8849-89043EDC5ADE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0A42-43E3-49D3-B227-F653CBB7375D}">
  <sheetPr>
    <pageSetUpPr fitToPage="1"/>
  </sheetPr>
  <dimension ref="A1:BF78"/>
  <sheetViews>
    <sheetView topLeftCell="A6" zoomScale="70" zoomScaleNormal="70" workbookViewId="0">
      <selection activeCell="C58" activeCellId="1" sqref="P27 C58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45735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[23]Brewhouse!$A298</f>
        <v>CA195</v>
      </c>
      <c r="D10" s="279">
        <f>[23]Brewhouse!$AF298</f>
        <v>53.6</v>
      </c>
      <c r="E10" s="279">
        <f>[23]Brewhouse!$AI298</f>
        <v>48.3</v>
      </c>
      <c r="F10" s="278">
        <f>[23]Brewhouse!$V298</f>
        <v>56</v>
      </c>
      <c r="G10" s="279">
        <f>[23]Brewhouse!$AG298</f>
        <v>12.4</v>
      </c>
      <c r="H10" s="396">
        <v>12.4</v>
      </c>
      <c r="I10" s="280">
        <f>[23]Brewhouse!$AU298</f>
        <v>98.313519336144523</v>
      </c>
      <c r="J10" s="368">
        <f>[23]Brewhouse!$AV298</f>
        <v>99.479773542399329</v>
      </c>
      <c r="K10" s="281">
        <f>[23]Brewhouse!$Q298</f>
        <v>7.5596330275229313</v>
      </c>
      <c r="L10" s="276">
        <f>[23]Brewhouse!$P298</f>
        <v>60</v>
      </c>
      <c r="M10" s="397">
        <f>[23]Brewhouse!$U298-[23]Brewhouse!$T298</f>
        <v>0.2458333333333334</v>
      </c>
      <c r="N10" s="370">
        <f>[23]Brewhouse!$Z298</f>
        <v>0.46111111111111114</v>
      </c>
      <c r="O10" s="371" t="str">
        <f>[23]Brewhouse!$AX298</f>
        <v>R.Regis</v>
      </c>
      <c r="P10" s="441" t="s">
        <v>194</v>
      </c>
      <c r="Q10" s="347"/>
      <c r="S10" s="277" t="str">
        <f t="shared" ref="S10:S13" si="0">B10</f>
        <v>CARIB</v>
      </c>
      <c r="T10" s="296">
        <f t="shared" ref="T10:T13" si="1">VLOOKUP($B10,$S$3:$Y$9,2,FALSE)</f>
        <v>11.6</v>
      </c>
      <c r="U10" s="296">
        <f t="shared" ref="U10:U13" si="2">VLOOKUP($B10,$S$3:$Y$9,3,FALSE)</f>
        <v>12</v>
      </c>
      <c r="V10" s="297">
        <f t="shared" ref="V10:V13" si="3">VLOOKUP($B10,$S$3:$Y$9,4,FALSE)</f>
        <v>0</v>
      </c>
      <c r="W10" s="297">
        <f t="shared" ref="W10:W13" si="4">VLOOKUP($B10,$S$3:$Y$9,5,FALSE)</f>
        <v>0.118055555555556</v>
      </c>
      <c r="X10" s="297">
        <f t="shared" ref="X10:X13" si="5">VLOOKUP($B10,$S$3:$Y$9,6,FALSE)</f>
        <v>0.22569444444444445</v>
      </c>
      <c r="Y10" s="297">
        <f t="shared" ref="Y10:Y13" si="6">VLOOKUP($B10,$S$3:$Y$9,7,FALSE)</f>
        <v>0.2638888888888889</v>
      </c>
      <c r="Z10" s="297">
        <f t="shared" ref="Z10:Z13" si="7">VLOOKUP($B10,$S$3:$AA$9,8,FALSE)</f>
        <v>0</v>
      </c>
      <c r="AA10" s="296">
        <f t="shared" ref="AA10:AA13" si="8">VLOOKUP($B10,$S$3:$AA$9,9,FALSE)</f>
        <v>60</v>
      </c>
    </row>
    <row r="11" spans="2:30" ht="15.75" customHeight="1">
      <c r="B11" s="29" t="s">
        <v>6</v>
      </c>
      <c r="C11" s="366" t="str">
        <f>[23]Brewhouse!$A299</f>
        <v>CA196</v>
      </c>
      <c r="D11" s="279">
        <f>[23]Brewhouse!$AF299</f>
        <v>53.3</v>
      </c>
      <c r="E11" s="279">
        <f>[23]Brewhouse!$AI299</f>
        <v>49.4</v>
      </c>
      <c r="F11" s="278">
        <f>[23]Brewhouse!$V299</f>
        <v>66</v>
      </c>
      <c r="G11" s="279">
        <f>[23]Brewhouse!$AG299</f>
        <v>11.88</v>
      </c>
      <c r="H11" s="396">
        <v>11.8</v>
      </c>
      <c r="I11" s="368">
        <f>[23]Brewhouse!$AU299</f>
        <v>96.991620603991933</v>
      </c>
      <c r="J11" s="368">
        <f>[23]Brewhouse!$AV299</f>
        <v>98.191358067186627</v>
      </c>
      <c r="K11" s="281">
        <f>[23]Brewhouse!$Q299</f>
        <v>6.7730496453900706</v>
      </c>
      <c r="L11" s="276">
        <f>[23]Brewhouse!$P299</f>
        <v>61</v>
      </c>
      <c r="M11" s="397">
        <f>[23]Brewhouse!$U299-[23]Brewhouse!$T299</f>
        <v>0.11458333333333337</v>
      </c>
      <c r="N11" s="370">
        <f>[23]Brewhouse!$Z299</f>
        <v>0.42222222222222222</v>
      </c>
      <c r="O11" s="371" t="str">
        <f>[23]Brewhouse!$AX299</f>
        <v>R.Regis</v>
      </c>
      <c r="P11" s="441" t="s">
        <v>195</v>
      </c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[23]Brewhouse!$A300</f>
        <v>CA197</v>
      </c>
      <c r="D12" s="279">
        <f>[23]Brewhouse!$AF300</f>
        <v>53.7</v>
      </c>
      <c r="E12" s="279">
        <f>[23]Brewhouse!$AI300</f>
        <v>50</v>
      </c>
      <c r="F12" s="278">
        <f>[23]Brewhouse!$V300</f>
        <v>61</v>
      </c>
      <c r="G12" s="279">
        <f>[23]Brewhouse!$AG300</f>
        <v>11.9</v>
      </c>
      <c r="H12" s="396">
        <v>11.75</v>
      </c>
      <c r="I12" s="368">
        <f>[23]Brewhouse!$AU300</f>
        <v>98.291339046896496</v>
      </c>
      <c r="J12" s="368">
        <f>[23]Brewhouse!$AV300</f>
        <v>99.507086810001695</v>
      </c>
      <c r="K12" s="281">
        <f>[23]Brewhouse!$Q300</f>
        <v>5.7706093189964145</v>
      </c>
      <c r="L12" s="276">
        <f>[23]Brewhouse!$P300</f>
        <v>57</v>
      </c>
      <c r="M12" s="397">
        <f>[23]Brewhouse!$U300-[23]Brewhouse!$T300</f>
        <v>0.10833333333333339</v>
      </c>
      <c r="N12" s="370">
        <f>[23]Brewhouse!$Z300</f>
        <v>0.25277777777777788</v>
      </c>
      <c r="O12" s="371" t="str">
        <f>[23]Brewhouse!$AX300</f>
        <v>R.Sookram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[23]Brewhouse!$A301</f>
        <v>CA198</v>
      </c>
      <c r="D13" s="279">
        <f>[23]Brewhouse!$AF301</f>
        <v>54</v>
      </c>
      <c r="E13" s="279">
        <f>[23]Brewhouse!$AI301</f>
        <v>50.4</v>
      </c>
      <c r="F13" s="278">
        <f>[23]Brewhouse!$V301</f>
        <v>63</v>
      </c>
      <c r="G13" s="279">
        <f>[23]Brewhouse!$AG301</f>
        <v>11.91</v>
      </c>
      <c r="H13" s="396">
        <v>11.9</v>
      </c>
      <c r="I13" s="368">
        <f>[23]Brewhouse!$AU301</f>
        <v>98.955013733627396</v>
      </c>
      <c r="J13" s="368">
        <f>[23]Brewhouse!$AV301</f>
        <v>100.17903738028755</v>
      </c>
      <c r="K13" s="281">
        <f>[23]Brewhouse!$Q301</f>
        <v>5.7913669064748179</v>
      </c>
      <c r="L13" s="276">
        <f>[23]Brewhouse!$P301</f>
        <v>58</v>
      </c>
      <c r="M13" s="397">
        <f>[23]Brewhouse!$U301-[23]Brewhouse!$T301</f>
        <v>0.11041666666666661</v>
      </c>
      <c r="N13" s="370">
        <f>[23]Brewhouse!$Z301</f>
        <v>0.25277777777777766</v>
      </c>
      <c r="O13" s="371" t="str">
        <f>[23]Brewhouse!$AX301</f>
        <v>R.Sookram</v>
      </c>
      <c r="P13" s="441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[23]Brewhouse!$A302</f>
        <v>CA199</v>
      </c>
      <c r="D14" s="279">
        <f>[23]Brewhouse!$AF302</f>
        <v>53.5</v>
      </c>
      <c r="E14" s="279">
        <f>[23]Brewhouse!$AI302</f>
        <v>50.1</v>
      </c>
      <c r="F14" s="278">
        <f>[23]Brewhouse!$V302</f>
        <v>58</v>
      </c>
      <c r="G14" s="279">
        <f>[23]Brewhouse!$AG302</f>
        <v>11.95</v>
      </c>
      <c r="H14" s="396">
        <v>11.9</v>
      </c>
      <c r="I14" s="368">
        <f>[23]Brewhouse!$AU302</f>
        <v>99.112393932911999</v>
      </c>
      <c r="J14" s="368">
        <f>[23]Brewhouse!$AV302</f>
        <v>100.33843124561481</v>
      </c>
      <c r="K14" s="281">
        <f>[23]Brewhouse!$Q302</f>
        <v>7.1276595744680789</v>
      </c>
      <c r="L14" s="276">
        <f>[23]Brewhouse!$P302</f>
        <v>60</v>
      </c>
      <c r="M14" s="397">
        <f>[23]Brewhouse!$U302-[23]Brewhouse!$T302</f>
        <v>0.11388888888888893</v>
      </c>
      <c r="N14" s="370">
        <f>[23]Brewhouse!$Z302</f>
        <v>0.25416666666666665</v>
      </c>
      <c r="O14" s="371" t="str">
        <f>[23]Brewhouse!$AX302</f>
        <v>K.Benjamin</v>
      </c>
      <c r="P14" s="441"/>
      <c r="Q14" s="347"/>
      <c r="S14" s="277" t="str">
        <f t="shared" ref="S14:S19" si="9">B14</f>
        <v>CARIB</v>
      </c>
      <c r="T14" s="296">
        <f t="shared" ref="T14:T19" si="10">VLOOKUP($B14,$S$3:$Y$9,2,FALSE)</f>
        <v>11.6</v>
      </c>
      <c r="U14" s="296">
        <f t="shared" ref="U14:U19" si="11">VLOOKUP($B14,$S$3:$Y$9,3,FALSE)</f>
        <v>12</v>
      </c>
      <c r="V14" s="297">
        <f t="shared" ref="V14:V19" si="12">VLOOKUP($B14,$S$3:$Y$9,4,FALSE)</f>
        <v>0</v>
      </c>
      <c r="W14" s="297">
        <f t="shared" ref="W14:W19" si="13">VLOOKUP($B14,$S$3:$Y$9,5,FALSE)</f>
        <v>0.118055555555556</v>
      </c>
      <c r="X14" s="297">
        <f t="shared" ref="X14:X19" si="14">VLOOKUP($B14,$S$3:$Y$9,6,FALSE)</f>
        <v>0.22569444444444445</v>
      </c>
      <c r="Y14" s="297">
        <f t="shared" ref="Y14:Y19" si="15">VLOOKUP($B14,$S$3:$Y$9,7,FALSE)</f>
        <v>0.2638888888888889</v>
      </c>
      <c r="Z14" s="297">
        <f t="shared" ref="Z14:Z19" si="16">VLOOKUP($B14,$S$3:$AA$9,8,FALSE)</f>
        <v>0</v>
      </c>
      <c r="AA14" s="296">
        <f t="shared" ref="AA14:AA19" si="17">VLOOKUP($B14,$S$3:$AA$9,9,FALSE)</f>
        <v>60</v>
      </c>
    </row>
    <row r="15" spans="2:30" ht="15.75" customHeight="1">
      <c r="B15" s="29" t="s">
        <v>6</v>
      </c>
      <c r="C15" s="366" t="str">
        <f>[23]Brewhouse!$A303</f>
        <v>CA200</v>
      </c>
      <c r="D15" s="279">
        <f>[23]Brewhouse!$AF303</f>
        <v>54.1</v>
      </c>
      <c r="E15" s="279">
        <f>[23]Brewhouse!$AI303</f>
        <v>50.9</v>
      </c>
      <c r="F15" s="278">
        <f>[23]Brewhouse!$V303</f>
        <v>62</v>
      </c>
      <c r="G15" s="279">
        <f>[23]Brewhouse!$AG303</f>
        <v>11.7</v>
      </c>
      <c r="H15" s="396">
        <v>11.8</v>
      </c>
      <c r="I15" s="368">
        <f>[23]Brewhouse!$AU303</f>
        <v>98.049377375814046</v>
      </c>
      <c r="J15" s="368">
        <f>[23]Brewhouse!$AV303</f>
        <v>99.262264991377009</v>
      </c>
      <c r="K15" s="281">
        <f>[23]Brewhouse!$Q303</f>
        <v>5.8553791887125222</v>
      </c>
      <c r="L15" s="276">
        <f>[23]Brewhouse!$P303</f>
        <v>61</v>
      </c>
      <c r="M15" s="397">
        <f>[23]Brewhouse!$U303-[23]Brewhouse!$T303</f>
        <v>0.11041666666666661</v>
      </c>
      <c r="N15" s="370">
        <f>[23]Brewhouse!$Z303</f>
        <v>0.24930555555555545</v>
      </c>
      <c r="O15" s="371" t="str">
        <f>[23]Brewhouse!$AX303</f>
        <v>K.Benjamin</v>
      </c>
      <c r="P15" s="441"/>
      <c r="Q15" s="347"/>
      <c r="S15" s="277" t="str">
        <f t="shared" si="9"/>
        <v>CARIB</v>
      </c>
      <c r="T15" s="296">
        <f t="shared" si="10"/>
        <v>11.6</v>
      </c>
      <c r="U15" s="296">
        <f t="shared" si="11"/>
        <v>12</v>
      </c>
      <c r="V15" s="297">
        <f t="shared" si="12"/>
        <v>0</v>
      </c>
      <c r="W15" s="297">
        <f t="shared" si="13"/>
        <v>0.118055555555556</v>
      </c>
      <c r="X15" s="297">
        <f t="shared" si="14"/>
        <v>0.22569444444444445</v>
      </c>
      <c r="Y15" s="297">
        <f t="shared" si="15"/>
        <v>0.2638888888888889</v>
      </c>
      <c r="Z15" s="297">
        <f t="shared" si="16"/>
        <v>0</v>
      </c>
      <c r="AA15" s="296">
        <f t="shared" si="17"/>
        <v>60</v>
      </c>
    </row>
    <row r="16" spans="2:30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369"/>
      <c r="Q16" s="347"/>
      <c r="S16" s="277">
        <f t="shared" si="9"/>
        <v>0</v>
      </c>
      <c r="T16" s="296" t="e">
        <f t="shared" si="10"/>
        <v>#N/A</v>
      </c>
      <c r="U16" s="296" t="e">
        <f t="shared" si="11"/>
        <v>#N/A</v>
      </c>
      <c r="V16" s="297" t="e">
        <f t="shared" si="12"/>
        <v>#N/A</v>
      </c>
      <c r="W16" s="297" t="e">
        <f t="shared" si="13"/>
        <v>#N/A</v>
      </c>
      <c r="X16" s="297" t="e">
        <f t="shared" si="14"/>
        <v>#N/A</v>
      </c>
      <c r="Y16" s="297" t="e">
        <f t="shared" si="15"/>
        <v>#N/A</v>
      </c>
      <c r="Z16" s="297" t="e">
        <f t="shared" si="16"/>
        <v>#N/A</v>
      </c>
      <c r="AA16" s="296" t="e">
        <f t="shared" si="17"/>
        <v>#N/A</v>
      </c>
    </row>
    <row r="17" spans="1:27" ht="14.4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369"/>
      <c r="Q17" s="347"/>
      <c r="S17" s="277">
        <f t="shared" si="9"/>
        <v>0</v>
      </c>
      <c r="T17" s="296" t="e">
        <f t="shared" si="10"/>
        <v>#N/A</v>
      </c>
      <c r="U17" s="296" t="e">
        <f t="shared" si="11"/>
        <v>#N/A</v>
      </c>
      <c r="V17" s="297" t="e">
        <f t="shared" si="12"/>
        <v>#N/A</v>
      </c>
      <c r="W17" s="297" t="e">
        <f t="shared" si="13"/>
        <v>#N/A</v>
      </c>
      <c r="X17" s="297" t="e">
        <f t="shared" si="14"/>
        <v>#N/A</v>
      </c>
      <c r="Y17" s="297" t="e">
        <f t="shared" si="15"/>
        <v>#N/A</v>
      </c>
      <c r="Z17" s="297" t="e">
        <f t="shared" si="16"/>
        <v>#N/A</v>
      </c>
      <c r="AA17" s="296" t="e">
        <f t="shared" si="17"/>
        <v>#N/A</v>
      </c>
    </row>
    <row r="18" spans="1:27" ht="15.75" customHeight="1" thickBot="1">
      <c r="B18" s="358"/>
      <c r="C18" s="358"/>
      <c r="D18" s="358"/>
      <c r="E18" s="358"/>
      <c r="F18" s="294"/>
      <c r="G18" s="294"/>
      <c r="H18" s="348"/>
      <c r="I18" s="481" t="s">
        <v>34</v>
      </c>
      <c r="J18" s="481"/>
      <c r="K18" s="481"/>
      <c r="L18" s="481"/>
      <c r="M18" s="481"/>
      <c r="N18" s="481"/>
      <c r="O18" s="1"/>
      <c r="P18" s="12"/>
      <c r="S18" s="277">
        <f t="shared" si="9"/>
        <v>0</v>
      </c>
      <c r="T18" s="296" t="e">
        <f t="shared" si="10"/>
        <v>#N/A</v>
      </c>
      <c r="U18" s="296" t="e">
        <f t="shared" si="11"/>
        <v>#N/A</v>
      </c>
      <c r="V18" s="297" t="e">
        <f t="shared" si="12"/>
        <v>#N/A</v>
      </c>
      <c r="W18" s="297" t="e">
        <f t="shared" si="13"/>
        <v>#N/A</v>
      </c>
      <c r="X18" s="297" t="e">
        <f t="shared" si="14"/>
        <v>#N/A</v>
      </c>
      <c r="Y18" s="297" t="e">
        <f t="shared" si="15"/>
        <v>#N/A</v>
      </c>
      <c r="Z18" s="297" t="e">
        <f t="shared" si="16"/>
        <v>#N/A</v>
      </c>
      <c r="AA18" s="296" t="e">
        <f t="shared" si="17"/>
        <v>#N/A</v>
      </c>
    </row>
    <row r="19" spans="1:27" ht="15" thickBot="1">
      <c r="B19" s="388" t="s">
        <v>145</v>
      </c>
      <c r="C19" s="388"/>
      <c r="D19" s="459" t="s">
        <v>35</v>
      </c>
      <c r="E19" s="460"/>
      <c r="F19" s="294"/>
      <c r="G19" s="294"/>
      <c r="H19" s="348"/>
      <c r="I19" s="24" t="s">
        <v>17</v>
      </c>
      <c r="J19" s="25" t="s">
        <v>36</v>
      </c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S19" s="277" t="str">
        <f t="shared" si="9"/>
        <v>BRAND</v>
      </c>
      <c r="T19" s="296" t="e">
        <f t="shared" si="10"/>
        <v>#N/A</v>
      </c>
      <c r="U19" s="296" t="e">
        <f t="shared" si="11"/>
        <v>#N/A</v>
      </c>
      <c r="V19" s="297" t="e">
        <f t="shared" si="12"/>
        <v>#N/A</v>
      </c>
      <c r="W19" s="297" t="e">
        <f t="shared" si="13"/>
        <v>#N/A</v>
      </c>
      <c r="X19" s="297" t="e">
        <f t="shared" si="14"/>
        <v>#N/A</v>
      </c>
      <c r="Y19" s="297" t="e">
        <f t="shared" si="15"/>
        <v>#N/A</v>
      </c>
      <c r="Z19" s="297" t="e">
        <f t="shared" si="16"/>
        <v>#N/A</v>
      </c>
      <c r="AA19" s="296" t="e">
        <f t="shared" si="17"/>
        <v>#N/A</v>
      </c>
    </row>
    <row r="20" spans="1:27" ht="15" customHeight="1">
      <c r="A20" s="28"/>
      <c r="B20" s="535" t="str">
        <f>I20</f>
        <v>CARIB</v>
      </c>
      <c r="C20" s="362" cm="1">
        <f t="array" ref="C20:C21">[23]Process!$D$227:$D$228</f>
        <v>12</v>
      </c>
      <c r="D20" s="485">
        <v>11.61</v>
      </c>
      <c r="E20" s="486"/>
      <c r="F20" s="294"/>
      <c r="G20" s="294"/>
      <c r="H20" s="348"/>
      <c r="I20" s="29" t="s">
        <v>6</v>
      </c>
      <c r="J20" s="280">
        <f>AVERAGE(I10:I15)</f>
        <v>98.285544004897744</v>
      </c>
      <c r="K20" s="284">
        <f>COUNTA([23]Brewhouse!$A$255:$A$303)</f>
        <v>49</v>
      </c>
      <c r="L20" s="302">
        <f>AVERAGE([23]Brewhouse!$AU$255:$AU303)</f>
        <v>98.927687829231147</v>
      </c>
      <c r="M20" s="302">
        <f>AVERAGE([23]Brewhouse!$AU$102:$AU$171,[23]Brewhouse!$AU$173:$AU$253,[23]Brewhouse!$AU$255:$AU$303)</f>
        <v>96.420611784298913</v>
      </c>
      <c r="N20" s="30">
        <v>98</v>
      </c>
      <c r="O20" s="11"/>
      <c r="P20" s="31"/>
      <c r="S20" s="277"/>
      <c r="T20" s="296"/>
      <c r="U20" s="296"/>
      <c r="V20" s="297"/>
      <c r="W20" s="297"/>
      <c r="X20" s="297"/>
      <c r="Y20" s="297"/>
      <c r="Z20" s="297"/>
      <c r="AA20" s="296"/>
    </row>
    <row r="21" spans="1:27" ht="15" customHeight="1">
      <c r="A21" s="28"/>
      <c r="B21" s="533"/>
      <c r="C21" s="349">
        <v>11.8</v>
      </c>
      <c r="D21" s="487"/>
      <c r="E21" s="488"/>
      <c r="F21" s="294"/>
      <c r="G21" s="294"/>
      <c r="H21" s="348"/>
      <c r="I21" s="33" t="s">
        <v>9</v>
      </c>
      <c r="J21" s="280"/>
      <c r="K21" s="284">
        <f>COUNTA([24]Brewhouse!$A$105:$A$128)</f>
        <v>24</v>
      </c>
      <c r="L21" s="302">
        <f>AVERAGE([24]Brewhouse!$AS$105:$AS$128)</f>
        <v>98.709474475329685</v>
      </c>
      <c r="M21" s="302">
        <f>AVERAGE([24]Brewhouse!$AS$15:$AS$64,[24]Brewhouse!$AS$66:$AS$103,[24]Brewhouse!$AS$105:$AS$128)</f>
        <v>96.492521063456024</v>
      </c>
      <c r="N21" s="30">
        <v>98</v>
      </c>
      <c r="O21" s="11"/>
      <c r="P21" s="31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4.7" customHeight="1">
      <c r="A22" s="28"/>
      <c r="B22" s="533"/>
      <c r="C22" s="349" cm="1">
        <f t="array" ref="C22:C29">[23]Process!$D$241:$D$248</f>
        <v>11.65</v>
      </c>
      <c r="D22" s="485">
        <v>11.62</v>
      </c>
      <c r="E22" s="486"/>
      <c r="F22" s="294"/>
      <c r="G22" s="294"/>
      <c r="H22" s="348"/>
      <c r="I22" s="34" t="s">
        <v>12</v>
      </c>
      <c r="J22" s="280"/>
      <c r="K22" s="284">
        <f>COUNTA([25]Brewhouse!$A$24:$A$31)</f>
        <v>8</v>
      </c>
      <c r="L22" s="302">
        <f>AVERAGE([25]Brewhouse!$AU$24:$AU$31)</f>
        <v>98.193576760694924</v>
      </c>
      <c r="M22" s="302">
        <f>AVERAGE([25]Brewhouse!$AU$4:$AU$7,[25]Brewhouse!$AU$9:$AU$22,[25]Brewhouse!$AU$24:$AU$31)</f>
        <v>96.826546264179598</v>
      </c>
      <c r="N22" s="30">
        <v>98</v>
      </c>
      <c r="O22" s="11"/>
      <c r="P22" s="31"/>
      <c r="S22" s="23"/>
      <c r="T22" s="1"/>
      <c r="U22" s="1"/>
      <c r="AA22" s="285"/>
    </row>
    <row r="23" spans="1:27" ht="14.7" customHeight="1">
      <c r="A23" s="28"/>
      <c r="B23" s="533"/>
      <c r="C23" s="349">
        <v>11.9</v>
      </c>
      <c r="D23" s="487"/>
      <c r="E23" s="488"/>
      <c r="F23" s="294"/>
      <c r="G23" s="294"/>
      <c r="H23" s="348"/>
      <c r="I23" s="22" t="s">
        <v>33</v>
      </c>
      <c r="J23" s="280"/>
      <c r="K23" s="284"/>
      <c r="L23" s="302"/>
      <c r="M23" s="302">
        <f>AVERAGE([26]Brewhouse!$AV$5:$AV$14,[26]Brewhouse!$AV$16:$AV$19)</f>
        <v>98.230957815544443</v>
      </c>
      <c r="N23" s="30">
        <v>98</v>
      </c>
      <c r="O23" s="11"/>
      <c r="P23" s="31"/>
      <c r="S23" s="23"/>
      <c r="T23" s="1"/>
      <c r="U23" s="1"/>
      <c r="AA23" s="285"/>
    </row>
    <row r="24" spans="1:27" ht="14.7" customHeight="1">
      <c r="A24" s="28"/>
      <c r="B24" s="533"/>
      <c r="C24" s="349">
        <v>11.8</v>
      </c>
      <c r="D24" s="485">
        <v>11.6</v>
      </c>
      <c r="E24" s="486"/>
      <c r="F24" s="294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S24" s="23"/>
    </row>
    <row r="25" spans="1:27" ht="14.7" customHeight="1">
      <c r="A25" s="28"/>
      <c r="B25" s="533"/>
      <c r="C25" s="349">
        <v>11.8</v>
      </c>
      <c r="D25" s="487"/>
      <c r="E25" s="488"/>
      <c r="F25" s="294"/>
      <c r="G25" s="294"/>
      <c r="H25" s="348"/>
      <c r="I25" s="36" t="s">
        <v>15</v>
      </c>
      <c r="J25" s="323"/>
      <c r="K25" s="284"/>
      <c r="L25" s="302"/>
      <c r="M25" s="302">
        <f>AVERAGE([27]Brewhouse!$AT$4:$AT$11)</f>
        <v>94.812616598822359</v>
      </c>
      <c r="N25" s="30">
        <v>98</v>
      </c>
      <c r="O25" s="11"/>
      <c r="P25" s="31"/>
      <c r="S25" s="23"/>
    </row>
    <row r="26" spans="1:27" ht="14.7" customHeight="1">
      <c r="A26" s="28"/>
      <c r="B26" s="533"/>
      <c r="C26" s="349">
        <v>11.7</v>
      </c>
      <c r="D26" s="485">
        <v>11.7</v>
      </c>
      <c r="E26" s="486"/>
      <c r="F26" s="294"/>
      <c r="G26" s="294"/>
      <c r="H26" s="348"/>
      <c r="I26" s="37" t="s">
        <v>16</v>
      </c>
      <c r="J26" s="323"/>
      <c r="K26" s="284">
        <f>COUNTA([22]Brewhouse!$A$22:$A$29)</f>
        <v>8</v>
      </c>
      <c r="L26" s="302">
        <f>AVERAGE([22]Brewhouse!$AY$22:$AY$29)</f>
        <v>98.065834237903474</v>
      </c>
      <c r="M26" s="302">
        <f>AVERAGE([22]Brewhouse!$AY$6:$AY$13,[22]Brewhouse!$AY$15:$AY$20,[22]Brewhouse!$AY$22:$AY$29)</f>
        <v>95.660462473217876</v>
      </c>
      <c r="N26" s="30">
        <v>98</v>
      </c>
      <c r="O26" s="11"/>
      <c r="P26" s="31" t="s">
        <v>41</v>
      </c>
      <c r="S26" s="23"/>
      <c r="X26" s="275" t="s">
        <v>41</v>
      </c>
    </row>
    <row r="27" spans="1:27" ht="14.7" customHeight="1">
      <c r="A27" s="28"/>
      <c r="B27" s="533"/>
      <c r="C27" s="349">
        <v>11.8</v>
      </c>
      <c r="D27" s="487"/>
      <c r="E27" s="488"/>
      <c r="F27" s="294"/>
      <c r="G27" s="294"/>
      <c r="H27" s="348"/>
      <c r="I27" s="415" t="s">
        <v>158</v>
      </c>
      <c r="J27" s="326"/>
      <c r="K27" s="284"/>
      <c r="L27" s="305"/>
      <c r="M27" s="305">
        <f>AVERAGE([28]Brewhouse!$AU$5:$AU$8)</f>
        <v>91.006888337619571</v>
      </c>
      <c r="N27" s="30">
        <v>98</v>
      </c>
      <c r="O27" s="11"/>
      <c r="P27" s="31"/>
      <c r="S27" s="23"/>
    </row>
    <row r="28" spans="1:27" ht="14.7" customHeight="1">
      <c r="A28" s="28"/>
      <c r="B28" s="533"/>
      <c r="C28" s="349">
        <v>11.64</v>
      </c>
      <c r="D28" s="485">
        <v>11.74</v>
      </c>
      <c r="E28" s="486"/>
      <c r="F28" s="294"/>
      <c r="G28" s="294"/>
      <c r="H28" s="348"/>
      <c r="I28" s="414" t="s">
        <v>157</v>
      </c>
      <c r="J28" s="326"/>
      <c r="K28" s="284"/>
      <c r="L28" s="305"/>
      <c r="M28" s="305"/>
      <c r="N28" s="30">
        <v>98</v>
      </c>
      <c r="O28" s="11"/>
      <c r="P28" s="31"/>
      <c r="S28" s="23"/>
    </row>
    <row r="29" spans="1:27" ht="15" customHeight="1" thickBot="1">
      <c r="A29" s="28"/>
      <c r="B29" s="533"/>
      <c r="C29" s="349">
        <v>11.75</v>
      </c>
      <c r="D29" s="487"/>
      <c r="E29" s="488"/>
      <c r="F29" s="294"/>
      <c r="G29" s="294"/>
      <c r="H29" s="348"/>
      <c r="I29" s="410" t="s">
        <v>156</v>
      </c>
      <c r="J29" s="327"/>
      <c r="K29" s="411"/>
      <c r="L29" s="412"/>
      <c r="M29" s="412"/>
      <c r="N29" s="413">
        <v>98</v>
      </c>
      <c r="O29" s="11"/>
      <c r="P29" s="31"/>
      <c r="S29" s="23"/>
    </row>
    <row r="30" spans="1:27" ht="15" customHeight="1" thickBot="1">
      <c r="A30" s="28"/>
      <c r="B30" s="533"/>
      <c r="C30" s="349"/>
      <c r="D30" s="485"/>
      <c r="E30" s="486"/>
      <c r="F30" s="294"/>
      <c r="G30" s="294"/>
      <c r="H30" s="348"/>
      <c r="I30" s="1"/>
      <c r="J30" s="39"/>
      <c r="K30" s="408">
        <f>SUM(K20:K29)</f>
        <v>89</v>
      </c>
      <c r="L30" s="409">
        <f>((L20*K20)+(L21*K21)+(L22*K22)+(L23*K23)+(L24*K24)+(K27*L27)+(L25*K25)+(L26*K26)+(L29*K29))/(K30)</f>
        <v>98.725386281225013</v>
      </c>
      <c r="M30" s="409">
        <f>AVERAGE('[29]Jan 31st'!$L$65,'[30]Feb 28th'!$L$35,L30)</f>
        <v>96.722787569541353</v>
      </c>
      <c r="N30" s="40">
        <v>98</v>
      </c>
      <c r="O30" s="11"/>
      <c r="P30" s="31"/>
      <c r="S30" s="23"/>
    </row>
    <row r="31" spans="1:27" ht="15" thickBot="1">
      <c r="B31" s="534"/>
      <c r="C31" s="350"/>
      <c r="D31" s="487"/>
      <c r="E31" s="488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S31" s="23"/>
    </row>
    <row r="32" spans="1:27" ht="15" thickBot="1">
      <c r="B32" s="547" t="str">
        <f>I21</f>
        <v>STAG</v>
      </c>
      <c r="C32" s="362" cm="1">
        <f t="array" ref="C32:C35">[24]Process!$D$96:$D$99</f>
        <v>11.8</v>
      </c>
      <c r="D32" s="498">
        <v>11.67</v>
      </c>
      <c r="E32" s="499"/>
      <c r="F32" s="43"/>
      <c r="G32" s="41"/>
      <c r="H32" s="41"/>
      <c r="I32" s="42"/>
      <c r="J32" s="501" t="s">
        <v>129</v>
      </c>
      <c r="K32" s="501"/>
      <c r="L32" s="294"/>
      <c r="M32" s="294"/>
      <c r="N32" s="294"/>
      <c r="O32" s="294"/>
      <c r="P32" s="12"/>
      <c r="S32" s="23" t="s">
        <v>41</v>
      </c>
    </row>
    <row r="33" spans="2:57" ht="13.5" customHeight="1" thickBot="1">
      <c r="B33" s="483"/>
      <c r="C33" s="349">
        <v>11.9</v>
      </c>
      <c r="D33" s="500"/>
      <c r="E33" s="488"/>
      <c r="F33" s="43"/>
      <c r="G33" s="41"/>
      <c r="H33" s="41"/>
      <c r="I33" s="42"/>
      <c r="J33" s="418" t="s">
        <v>17</v>
      </c>
      <c r="K33" s="293" t="s">
        <v>147</v>
      </c>
      <c r="L33" s="502" t="s">
        <v>136</v>
      </c>
      <c r="M33" s="502"/>
      <c r="N33" s="503"/>
      <c r="O33" s="294"/>
      <c r="P33" s="12"/>
      <c r="S33" s="23"/>
    </row>
    <row r="34" spans="2:57" ht="15" customHeight="1" thickBot="1">
      <c r="B34" s="483"/>
      <c r="C34" s="349">
        <v>12</v>
      </c>
      <c r="D34" s="504">
        <v>11.68</v>
      </c>
      <c r="E34" s="486"/>
      <c r="F34" s="43"/>
      <c r="G34" s="41"/>
      <c r="H34" s="41"/>
      <c r="I34" s="42"/>
      <c r="J34" s="419" t="s">
        <v>6</v>
      </c>
      <c r="K34" s="324">
        <f>COUNTA(B10:B15)</f>
        <v>6</v>
      </c>
      <c r="L34" s="343" t="s">
        <v>37</v>
      </c>
      <c r="M34" s="307" t="s">
        <v>38</v>
      </c>
      <c r="N34" s="307" t="s">
        <v>84</v>
      </c>
      <c r="O34" s="294"/>
      <c r="P34" s="12"/>
      <c r="S34" s="23"/>
    </row>
    <row r="35" spans="2:57" ht="15.75" customHeight="1" thickBot="1">
      <c r="B35" s="483"/>
      <c r="C35" s="349">
        <v>11.8</v>
      </c>
      <c r="D35" s="500"/>
      <c r="E35" s="488"/>
      <c r="F35" s="43"/>
      <c r="G35" s="41"/>
      <c r="H35" s="41"/>
      <c r="I35" s="42"/>
      <c r="J35" s="420" t="s">
        <v>9</v>
      </c>
      <c r="K35" s="324"/>
      <c r="L35" s="344">
        <f>AVERAGE('Mar. 3rd'!K80,'Mar. 4th'!K81,'Mar. 5th '!K50,'Mar. 6th'!K50,'Mar. 7th &amp; 8th'!J52:K52,'Mar. 10th'!K49,'Mar. 11th'!K49,'Mar. 12th'!K47,'Mar. 13th'!K49,'Mar. 14th &amp; 16th'!J48,'Mar. 14th &amp; 16th'!K48,'Mar. 17th'!K48,'Mar. 18th'!K44)</f>
        <v>6.2857142857142856</v>
      </c>
      <c r="M35" s="325">
        <f>AVERAGE('[29]Jan 29th '!$M$70,'[30]Feb 28th'!$L$40,L35)</f>
        <v>6.5989010989010985</v>
      </c>
      <c r="N35" s="400">
        <v>10</v>
      </c>
      <c r="O35" s="294"/>
      <c r="P35" s="12"/>
      <c r="S35" s="23"/>
    </row>
    <row r="36" spans="2:57" ht="15" customHeight="1">
      <c r="B36" s="483"/>
      <c r="C36" s="349"/>
      <c r="D36" s="504"/>
      <c r="E36" s="486"/>
      <c r="F36" s="43"/>
      <c r="G36" s="41"/>
      <c r="H36" s="41"/>
      <c r="I36" s="42"/>
      <c r="J36" s="421" t="s">
        <v>40</v>
      </c>
      <c r="K36" s="324"/>
      <c r="L36" s="294"/>
      <c r="M36" s="294"/>
      <c r="N36" s="294"/>
      <c r="O36" s="294"/>
      <c r="P36" s="12"/>
      <c r="S36" s="23"/>
    </row>
    <row r="37" spans="2:57" ht="15" customHeight="1">
      <c r="B37" s="483"/>
      <c r="C37" s="349"/>
      <c r="D37" s="500"/>
      <c r="E37" s="488"/>
      <c r="F37" s="43"/>
      <c r="G37" s="41"/>
      <c r="H37" s="41"/>
      <c r="I37" s="42"/>
      <c r="J37" s="422" t="s">
        <v>33</v>
      </c>
      <c r="K37" s="324"/>
      <c r="L37" s="294"/>
      <c r="M37" s="294"/>
      <c r="N37" s="294"/>
      <c r="O37" s="294"/>
      <c r="P37" s="12"/>
      <c r="S37" s="23"/>
    </row>
    <row r="38" spans="2:57" ht="14.4">
      <c r="B38" s="483"/>
      <c r="C38" s="349"/>
      <c r="D38" s="504"/>
      <c r="E38" s="486"/>
      <c r="F38" s="43"/>
      <c r="G38" s="41"/>
      <c r="H38" s="41"/>
      <c r="I38" s="42"/>
      <c r="J38" s="423" t="s">
        <v>16</v>
      </c>
      <c r="K38" s="324"/>
      <c r="L38" s="294"/>
      <c r="M38" s="294"/>
      <c r="N38" s="294"/>
      <c r="O38" s="294"/>
      <c r="P38" s="12"/>
      <c r="S38" s="23"/>
      <c r="BD38" s="44"/>
      <c r="BE38" s="44"/>
    </row>
    <row r="39" spans="2:57" ht="14.4">
      <c r="B39" s="483"/>
      <c r="C39" s="349"/>
      <c r="D39" s="500"/>
      <c r="E39" s="488"/>
      <c r="F39" s="43"/>
      <c r="G39" s="41"/>
      <c r="H39" s="41"/>
      <c r="I39" s="42"/>
      <c r="J39" s="424" t="s">
        <v>15</v>
      </c>
      <c r="K39" s="324"/>
      <c r="L39" s="294"/>
      <c r="M39" s="294"/>
      <c r="N39" s="294"/>
      <c r="O39" s="294"/>
      <c r="P39" s="12"/>
      <c r="S39" s="23"/>
      <c r="BD39" s="44"/>
      <c r="BE39" s="44"/>
    </row>
    <row r="40" spans="2:57" ht="14.4">
      <c r="B40" s="483"/>
      <c r="C40" s="349"/>
      <c r="D40" s="505"/>
      <c r="E40" s="490"/>
      <c r="F40" s="43"/>
      <c r="G40" s="41"/>
      <c r="H40" s="41"/>
      <c r="I40" s="42"/>
      <c r="J40" s="424" t="s">
        <v>149</v>
      </c>
      <c r="K40" s="324"/>
      <c r="L40" s="294"/>
      <c r="M40" s="294"/>
      <c r="N40" s="294"/>
      <c r="O40" s="294"/>
      <c r="P40" s="12"/>
      <c r="S40" s="23"/>
      <c r="BD40" s="44"/>
      <c r="BE40" s="44"/>
    </row>
    <row r="41" spans="2:57" ht="15" thickBot="1">
      <c r="B41" s="484"/>
      <c r="C41" s="350"/>
      <c r="D41" s="506"/>
      <c r="E41" s="507"/>
      <c r="F41" s="43"/>
      <c r="G41" s="41"/>
      <c r="H41" s="41"/>
      <c r="I41" s="42"/>
      <c r="J41" s="424" t="s">
        <v>148</v>
      </c>
      <c r="K41" s="324"/>
      <c r="L41" s="294"/>
      <c r="M41" s="294"/>
      <c r="N41" s="294"/>
      <c r="O41" s="294"/>
      <c r="P41" s="12"/>
      <c r="S41" s="23"/>
      <c r="BD41" s="44"/>
      <c r="BE41" s="44"/>
    </row>
    <row r="42" spans="2:57" ht="17.7" customHeight="1" thickBot="1">
      <c r="B42" s="312" t="s">
        <v>139</v>
      </c>
      <c r="C42" s="313"/>
      <c r="D42" s="508">
        <f>AVERAGE(D20:E41)</f>
        <v>11.66</v>
      </c>
      <c r="E42" s="509"/>
      <c r="F42" s="43"/>
      <c r="G42" s="41"/>
      <c r="H42" s="41"/>
      <c r="I42" s="42"/>
      <c r="J42" s="425" t="s">
        <v>134</v>
      </c>
      <c r="K42" s="324"/>
      <c r="L42" s="294"/>
      <c r="M42" s="294"/>
      <c r="N42" s="294"/>
      <c r="O42" s="294"/>
      <c r="P42" s="12"/>
      <c r="S42" s="23"/>
      <c r="BD42" s="44"/>
      <c r="BE42" s="44"/>
    </row>
    <row r="43" spans="2:57" ht="17.7" customHeight="1">
      <c r="B43" s="363"/>
      <c r="C43" s="364"/>
      <c r="D43" s="365"/>
      <c r="E43" s="365"/>
      <c r="F43" s="43"/>
      <c r="G43" s="41"/>
      <c r="H43" s="41"/>
      <c r="I43" s="42"/>
      <c r="J43" s="425" t="s">
        <v>131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2:57" ht="15.75" customHeight="1">
      <c r="B44" s="45"/>
      <c r="C44" s="11"/>
      <c r="D44" s="11"/>
      <c r="E44" s="46"/>
      <c r="F44" s="23"/>
      <c r="G44" s="11"/>
      <c r="H44" s="41"/>
      <c r="I44" s="42"/>
      <c r="J44" s="426" t="s">
        <v>130</v>
      </c>
      <c r="K44" s="324">
        <f>SUM(K34:K43)</f>
        <v>6</v>
      </c>
      <c r="L44" s="294"/>
      <c r="M44" s="294"/>
      <c r="N44" s="294"/>
      <c r="O44" s="294"/>
      <c r="P44" s="12"/>
    </row>
    <row r="45" spans="2:57" ht="20.25" customHeight="1">
      <c r="B45" s="15" t="s">
        <v>42</v>
      </c>
      <c r="C45" s="1" t="s">
        <v>43</v>
      </c>
      <c r="D45" s="1"/>
      <c r="E45" s="1"/>
      <c r="I45" s="42"/>
      <c r="L45" s="294"/>
      <c r="P45" s="334"/>
    </row>
    <row r="46" spans="2:57" ht="15" customHeight="1" thickBot="1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8"/>
      <c r="O46" s="48"/>
      <c r="P46" s="49"/>
      <c r="X46" s="275" t="s">
        <v>41</v>
      </c>
    </row>
    <row r="47" spans="2:57" ht="15" customHeight="1" thickBot="1">
      <c r="B47" s="510" t="s">
        <v>17</v>
      </c>
      <c r="C47" s="510" t="s">
        <v>44</v>
      </c>
      <c r="D47" s="512" t="s">
        <v>45</v>
      </c>
      <c r="E47" s="467" t="s">
        <v>46</v>
      </c>
      <c r="F47" s="527" t="s">
        <v>47</v>
      </c>
      <c r="G47" s="521" t="s">
        <v>48</v>
      </c>
      <c r="H47" s="510" t="s">
        <v>49</v>
      </c>
      <c r="I47" s="510" t="s">
        <v>50</v>
      </c>
      <c r="J47" s="515" t="s">
        <v>28</v>
      </c>
      <c r="K47" s="465" t="s">
        <v>51</v>
      </c>
      <c r="L47" s="477" t="s">
        <v>52</v>
      </c>
      <c r="M47" s="515" t="s">
        <v>53</v>
      </c>
      <c r="N47" s="77"/>
      <c r="O47" s="13"/>
      <c r="P47" s="50"/>
    </row>
    <row r="48" spans="2:57" ht="28.5" customHeight="1" thickTop="1" thickBot="1">
      <c r="B48" s="511"/>
      <c r="C48" s="511"/>
      <c r="D48" s="513"/>
      <c r="E48" s="514"/>
      <c r="F48" s="528"/>
      <c r="G48" s="522"/>
      <c r="H48" s="511"/>
      <c r="I48" s="511"/>
      <c r="J48" s="516"/>
      <c r="K48" s="525"/>
      <c r="L48" s="526"/>
      <c r="M48" s="516"/>
      <c r="N48" s="77"/>
      <c r="O48" s="13"/>
      <c r="P48" s="50"/>
      <c r="Q48" s="355"/>
      <c r="R48" s="355"/>
      <c r="S48" s="355"/>
      <c r="T48" s="355"/>
      <c r="U48" s="51">
        <v>43466</v>
      </c>
      <c r="V48" s="51">
        <v>43467</v>
      </c>
      <c r="W48" s="51">
        <v>43468</v>
      </c>
      <c r="X48" s="51">
        <v>43469</v>
      </c>
      <c r="Y48" s="51">
        <v>43470</v>
      </c>
      <c r="Z48" s="51">
        <v>43471</v>
      </c>
      <c r="AA48" s="51">
        <v>43472</v>
      </c>
      <c r="AB48" s="51">
        <v>43473</v>
      </c>
      <c r="AC48" s="51">
        <v>43474</v>
      </c>
      <c r="AD48" s="51">
        <v>43475</v>
      </c>
      <c r="AE48" s="51">
        <v>43476</v>
      </c>
      <c r="AF48" s="51">
        <v>43477</v>
      </c>
      <c r="AG48" s="51">
        <v>43478</v>
      </c>
      <c r="AH48" s="51">
        <v>43479</v>
      </c>
      <c r="AI48" s="51">
        <v>43480</v>
      </c>
      <c r="AJ48" s="51">
        <v>43481</v>
      </c>
      <c r="AK48" s="51">
        <v>43482</v>
      </c>
      <c r="AL48" s="51">
        <v>43483</v>
      </c>
      <c r="AM48" s="51">
        <v>43484</v>
      </c>
      <c r="AN48" s="51">
        <v>43485</v>
      </c>
      <c r="AO48" s="51">
        <v>43486</v>
      </c>
      <c r="AP48" s="51">
        <v>43487</v>
      </c>
      <c r="AQ48" s="51">
        <v>43488</v>
      </c>
      <c r="AR48" s="51">
        <v>43489</v>
      </c>
      <c r="AS48" s="51">
        <v>43490</v>
      </c>
      <c r="AT48" s="51">
        <v>43491</v>
      </c>
      <c r="AU48" s="51">
        <v>43492</v>
      </c>
      <c r="AV48" s="51">
        <v>43493</v>
      </c>
      <c r="AW48" s="51">
        <v>43494</v>
      </c>
      <c r="AX48" s="51">
        <v>43495</v>
      </c>
      <c r="AY48" s="51">
        <v>43496</v>
      </c>
    </row>
    <row r="49" spans="2:58" s="54" customFormat="1" ht="45" customHeight="1" thickBot="1">
      <c r="B49" s="387" t="str">
        <f>I20</f>
        <v>CARIB</v>
      </c>
      <c r="C49" s="283">
        <v>45734</v>
      </c>
      <c r="D49" s="304">
        <f>[31]March_2025!$U$3</f>
        <v>509.79999999999995</v>
      </c>
      <c r="E49" s="279"/>
      <c r="F49" s="279">
        <f>SUM([32]CARIB!$L$24:$L$25,[32]CARIB!$L$38:$L$45)</f>
        <v>494</v>
      </c>
      <c r="G49" s="279">
        <f>[31]March_2025!$U$7</f>
        <v>460</v>
      </c>
      <c r="H49" s="320">
        <f>(D49-F49)/D49*100</f>
        <v>3.0992546096508349</v>
      </c>
      <c r="I49" s="322">
        <f>((F49+E49)-G49)/(F49+E49)*100</f>
        <v>6.8825910931174086</v>
      </c>
      <c r="J49" s="390" t="s">
        <v>196</v>
      </c>
      <c r="K49" s="376">
        <f>[33]March_2025!$U$18</f>
        <v>0.3066666666666667</v>
      </c>
      <c r="L49" s="314">
        <f>(((D49+E49)-G49)/(D49+E49))*100</f>
        <v>9.7685366810513852</v>
      </c>
      <c r="M49" s="339" t="s">
        <v>167</v>
      </c>
      <c r="N49" s="13"/>
      <c r="O49" s="13"/>
      <c r="P49" s="50"/>
      <c r="T49" s="272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277"/>
      <c r="AZ49" s="277"/>
      <c r="BA49" s="277"/>
      <c r="BB49" s="277"/>
      <c r="BC49" s="277"/>
      <c r="BD49" s="277"/>
      <c r="BE49" s="277"/>
      <c r="BF49" s="277"/>
    </row>
    <row r="50" spans="2:58" s="54" customFormat="1" ht="13.5" customHeight="1" thickBot="1">
      <c r="B50" s="387"/>
      <c r="C50" s="283"/>
      <c r="D50" s="377"/>
      <c r="E50" s="444"/>
      <c r="F50" s="444"/>
      <c r="G50" s="445"/>
      <c r="H50" s="320"/>
      <c r="I50" s="322"/>
      <c r="J50" s="446"/>
      <c r="K50" s="286"/>
      <c r="L50" s="314"/>
      <c r="M50" s="357"/>
      <c r="N50" s="13"/>
      <c r="O50" s="13"/>
      <c r="P50" s="50"/>
      <c r="T50" s="272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277"/>
      <c r="AZ50" s="277"/>
      <c r="BA50" s="277"/>
      <c r="BB50" s="277"/>
      <c r="BC50" s="277"/>
      <c r="BD50" s="277"/>
      <c r="BE50" s="277"/>
      <c r="BF50" s="277"/>
    </row>
    <row r="51" spans="2:58" s="54" customFormat="1" ht="56.25" customHeight="1" thickBot="1">
      <c r="B51" s="443" t="str">
        <f>I21</f>
        <v>STAG</v>
      </c>
      <c r="C51" s="283">
        <v>45735</v>
      </c>
      <c r="D51" s="377">
        <f>[31]March_2025!$V$13</f>
        <v>200.5</v>
      </c>
      <c r="E51" s="378"/>
      <c r="F51" s="379">
        <f>SUM([32]STAG!$L$20:$L$23)</f>
        <v>192.69</v>
      </c>
      <c r="G51" s="303">
        <f>[31]March_2025!$V$17</f>
        <v>176.1</v>
      </c>
      <c r="H51" s="320">
        <f>(D51-F51)/D51*100</f>
        <v>3.8952618453865351</v>
      </c>
      <c r="I51" s="322">
        <f>((F51+E51)-G51)/(F51+E51)*100</f>
        <v>8.6096839483107601</v>
      </c>
      <c r="J51" s="390" t="s">
        <v>168</v>
      </c>
      <c r="K51" s="433">
        <f>[33]March_2025!$V$25</f>
        <v>0.88049999999999995</v>
      </c>
      <c r="L51" s="314">
        <f>(((D51+E51)-G51)/(D51+E51))*100</f>
        <v>12.169576059850378</v>
      </c>
      <c r="M51" s="357" t="s">
        <v>164</v>
      </c>
      <c r="N51" s="13"/>
      <c r="O51" s="13"/>
      <c r="P51" s="50"/>
      <c r="T51" s="272" t="s">
        <v>54</v>
      </c>
      <c r="U51" s="279"/>
      <c r="V51" s="279"/>
      <c r="W51" s="279"/>
      <c r="X51" s="279"/>
      <c r="Y51" s="279"/>
      <c r="Z51" s="279"/>
      <c r="AA51" s="279"/>
      <c r="AB51" s="279"/>
      <c r="AC51" s="279"/>
      <c r="AD51" s="279"/>
      <c r="AE51" s="279"/>
      <c r="AF51" s="279"/>
      <c r="AG51" s="279"/>
      <c r="AH51" s="279"/>
      <c r="AI51" s="279"/>
      <c r="AJ51" s="279"/>
      <c r="AK51" s="279"/>
      <c r="AL51" s="279"/>
      <c r="AM51" s="279"/>
      <c r="AN51" s="279"/>
      <c r="AO51" s="279"/>
      <c r="AP51" s="279"/>
      <c r="AQ51" s="279"/>
      <c r="AR51" s="279"/>
      <c r="AS51" s="279"/>
      <c r="AT51" s="279"/>
      <c r="AU51" s="279"/>
      <c r="AV51" s="279"/>
      <c r="AW51" s="279"/>
      <c r="AX51" s="279"/>
    </row>
    <row r="52" spans="2:58" s="54" customFormat="1" ht="18.75" hidden="1" customHeight="1">
      <c r="B52" s="387"/>
      <c r="C52" s="283"/>
      <c r="D52" s="279"/>
      <c r="E52" s="279"/>
      <c r="F52" s="279"/>
      <c r="G52" s="279"/>
      <c r="H52" s="320"/>
      <c r="I52" s="322"/>
      <c r="J52" s="389"/>
      <c r="K52" s="434"/>
      <c r="L52" s="314"/>
      <c r="M52" s="384"/>
      <c r="N52" s="13"/>
      <c r="O52" s="13"/>
      <c r="P52" s="50"/>
      <c r="T52" s="272" t="s">
        <v>51</v>
      </c>
      <c r="U52" s="57" t="e">
        <f>[20]January_2019!D8</f>
        <v>#DIV/0!</v>
      </c>
      <c r="V52" s="57">
        <f>[20]January_2019!E8</f>
        <v>1.0319298245614037</v>
      </c>
      <c r="W52" s="57">
        <f>[20]January_2019!F8</f>
        <v>1.7789473684210526</v>
      </c>
      <c r="X52" s="57">
        <f>[20]January_2019!G8</f>
        <v>0.51929824561403504</v>
      </c>
      <c r="Y52" s="57" t="e">
        <f>[20]January_2019!H8</f>
        <v>#DIV/0!</v>
      </c>
      <c r="Z52" s="57" t="e">
        <f>[20]January_2019!I8</f>
        <v>#DIV/0!</v>
      </c>
      <c r="AA52" s="57">
        <f>[20]January_2019!J8</f>
        <v>1.365263157894737</v>
      </c>
      <c r="AB52" s="57" t="e">
        <f>[20]January_2019!K8</f>
        <v>#DIV/0!</v>
      </c>
      <c r="AC52" s="57">
        <f>[20]January_2019!L8</f>
        <v>1.0028070175438597</v>
      </c>
      <c r="AD52" s="57">
        <f>[20]January_2019!M8</f>
        <v>1.7828070175438597</v>
      </c>
      <c r="AE52" s="57" t="e">
        <f>[20]January_2019!N8</f>
        <v>#DIV/0!</v>
      </c>
      <c r="AF52" s="57" t="e">
        <f>[20]January_2019!O8</f>
        <v>#DIV/0!</v>
      </c>
      <c r="AG52" s="57">
        <f>[20]January_2019!P8</f>
        <v>0.19222222222222221</v>
      </c>
      <c r="AH52" s="57">
        <f>[20]January_2019!Q8</f>
        <v>0.52219298245614032</v>
      </c>
      <c r="AI52" s="57">
        <f>[20]January_2019!R8</f>
        <v>0.42912280701754385</v>
      </c>
      <c r="AJ52" s="57" t="e">
        <f>[20]January_2019!S8</f>
        <v>#DIV/0!</v>
      </c>
      <c r="AK52" s="57">
        <f>[20]January_2019!T8</f>
        <v>1.0340350877192983</v>
      </c>
      <c r="AL52" s="57">
        <f>[20]January_2019!U8</f>
        <v>0.98421052631578942</v>
      </c>
      <c r="AM52" s="57" t="e">
        <f>[20]January_2019!V8</f>
        <v>#DIV/0!</v>
      </c>
      <c r="AN52" s="57" t="e">
        <f>[20]January_2019!W8</f>
        <v>#DIV/0!</v>
      </c>
      <c r="AO52" s="57">
        <f>[20]January_2019!X8</f>
        <v>0.66052631578947374</v>
      </c>
      <c r="AP52" s="57">
        <f>[20]January_2019!Y8</f>
        <v>1.0375438596491227</v>
      </c>
      <c r="AQ52" s="57">
        <f>[20]January_2019!Z8</f>
        <v>0.90456140350877201</v>
      </c>
      <c r="AR52" s="57">
        <f>[20]January_2019!AA8</f>
        <v>1.0217543859649123</v>
      </c>
      <c r="AS52" s="57">
        <f>[20]January_2019!AB8</f>
        <v>0.65614035087719302</v>
      </c>
      <c r="AT52" s="57" t="e">
        <f>[20]January_2019!AC8</f>
        <v>#DIV/0!</v>
      </c>
      <c r="AU52" s="57" t="e">
        <f>[20]January_2019!AD8</f>
        <v>#DIV/0!</v>
      </c>
      <c r="AV52" s="57">
        <f>[20]January_2019!AE8</f>
        <v>1.7021052631578948</v>
      </c>
      <c r="AW52" s="57">
        <f>[20]January_2019!AF8</f>
        <v>0.60192982456140354</v>
      </c>
      <c r="AX52" s="57">
        <f>[20]January_2019!AG8</f>
        <v>1.4870175438596491</v>
      </c>
      <c r="AY52" s="277" t="e">
        <f>[20]January_2019!AH8</f>
        <v>#DIV/0!</v>
      </c>
      <c r="AZ52" s="277"/>
      <c r="BA52" s="277"/>
      <c r="BB52" s="277"/>
      <c r="BC52" s="277"/>
      <c r="BD52" s="277"/>
      <c r="BE52" s="277"/>
      <c r="BF52" s="277"/>
    </row>
    <row r="53" spans="2:58" ht="11.4" customHeight="1" thickBot="1">
      <c r="B53" s="33"/>
      <c r="C53" s="310"/>
      <c r="D53" s="279"/>
      <c r="E53" s="279"/>
      <c r="F53" s="279"/>
      <c r="G53" s="279"/>
      <c r="H53" s="352"/>
      <c r="I53" s="353"/>
      <c r="J53" s="281"/>
      <c r="K53" s="52"/>
      <c r="L53" s="53"/>
      <c r="M53" s="55"/>
      <c r="N53" s="77"/>
      <c r="O53" s="13"/>
      <c r="P53" s="56"/>
    </row>
    <row r="54" spans="2:58" ht="14.4" thickBot="1">
      <c r="B54" s="58"/>
      <c r="C54" s="309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9"/>
      <c r="O54" s="56"/>
      <c r="P54" s="60"/>
    </row>
    <row r="55" spans="2:58" ht="14.4" thickBot="1">
      <c r="B55" s="517" t="s">
        <v>55</v>
      </c>
      <c r="C55" s="518"/>
      <c r="D55" s="518"/>
      <c r="E55" s="518"/>
      <c r="F55" s="519"/>
      <c r="G55" s="517" t="s">
        <v>56</v>
      </c>
      <c r="H55" s="518"/>
      <c r="I55" s="518"/>
      <c r="J55" s="519"/>
      <c r="K55" s="517" t="s">
        <v>51</v>
      </c>
      <c r="L55" s="518"/>
      <c r="M55" s="518"/>
      <c r="N55" s="520"/>
      <c r="O55" s="56"/>
      <c r="P55" s="50"/>
    </row>
    <row r="56" spans="2:58">
      <c r="B56" s="61" t="s">
        <v>17</v>
      </c>
      <c r="C56" s="62" t="s">
        <v>36</v>
      </c>
      <c r="D56" s="62" t="s">
        <v>37</v>
      </c>
      <c r="E56" s="62" t="s">
        <v>38</v>
      </c>
      <c r="F56" s="63" t="s">
        <v>39</v>
      </c>
      <c r="G56" s="62" t="s">
        <v>36</v>
      </c>
      <c r="H56" s="62" t="s">
        <v>37</v>
      </c>
      <c r="I56" s="62" t="s">
        <v>38</v>
      </c>
      <c r="J56" s="63" t="s">
        <v>39</v>
      </c>
      <c r="K56" s="62" t="s">
        <v>36</v>
      </c>
      <c r="L56" s="62" t="s">
        <v>37</v>
      </c>
      <c r="M56" s="62" t="s">
        <v>38</v>
      </c>
      <c r="N56" s="63" t="s">
        <v>39</v>
      </c>
      <c r="O56" s="56"/>
      <c r="P56" s="64"/>
    </row>
    <row r="57" spans="2:58">
      <c r="B57" s="29" t="s">
        <v>6</v>
      </c>
      <c r="C57" s="65">
        <f>L49</f>
        <v>9.7685366810513852</v>
      </c>
      <c r="D57" s="76">
        <v>8.0343137254902111</v>
      </c>
      <c r="E57" s="76">
        <v>7.2225614249321044</v>
      </c>
      <c r="F57" s="66">
        <v>4.8</v>
      </c>
      <c r="G57" s="65">
        <f>[31]March_2025!$U$11</f>
        <v>10.794727165588585</v>
      </c>
      <c r="H57" s="76">
        <v>8.7377634466819689</v>
      </c>
      <c r="I57" s="76">
        <v>7.7275418028860443</v>
      </c>
      <c r="J57" s="66">
        <v>4.8</v>
      </c>
      <c r="K57" s="67">
        <f>K49</f>
        <v>0.3066666666666667</v>
      </c>
      <c r="L57" s="194">
        <v>0.64532671889145299</v>
      </c>
      <c r="M57" s="194">
        <v>0.79657866349861517</v>
      </c>
      <c r="N57" s="68">
        <v>1</v>
      </c>
      <c r="O57" s="56"/>
      <c r="P57" s="69"/>
    </row>
    <row r="58" spans="2:58">
      <c r="B58" s="33" t="s">
        <v>9</v>
      </c>
      <c r="C58" s="65">
        <f>L51</f>
        <v>12.169576059850378</v>
      </c>
      <c r="D58" s="76">
        <v>10.326566637246264</v>
      </c>
      <c r="E58" s="76">
        <v>7.4864594378090121</v>
      </c>
      <c r="F58" s="66">
        <v>4.8</v>
      </c>
      <c r="G58" s="65">
        <f>[31]March_2025!$V$21</f>
        <v>13.724096837552141</v>
      </c>
      <c r="H58" s="76">
        <v>11.443045968851127</v>
      </c>
      <c r="I58" s="76">
        <v>7.7997568872278089</v>
      </c>
      <c r="J58" s="66">
        <v>4.8</v>
      </c>
      <c r="K58" s="67">
        <f>K51</f>
        <v>0.88049999999999995</v>
      </c>
      <c r="L58" s="194">
        <v>0.75217497641591835</v>
      </c>
      <c r="M58" s="194">
        <v>0.71685553418211967</v>
      </c>
      <c r="N58" s="68">
        <v>1</v>
      </c>
      <c r="P58" s="69"/>
    </row>
    <row r="59" spans="2:58">
      <c r="B59" s="34" t="s">
        <v>40</v>
      </c>
      <c r="C59" s="65"/>
      <c r="D59" s="76">
        <v>7.5445173383317687</v>
      </c>
      <c r="E59" s="76">
        <v>12.682396771189062</v>
      </c>
      <c r="F59" s="66">
        <v>5.5</v>
      </c>
      <c r="G59" s="65"/>
      <c r="H59" s="76">
        <v>8.3720217865482667</v>
      </c>
      <c r="I59" s="76">
        <v>14.322773542755614</v>
      </c>
      <c r="J59" s="66">
        <v>5.5</v>
      </c>
      <c r="K59" s="67"/>
      <c r="L59" s="194">
        <v>0.98650000000000004</v>
      </c>
      <c r="M59" s="194">
        <v>0.56862100456621001</v>
      </c>
      <c r="N59" s="68">
        <v>1</v>
      </c>
      <c r="P59" s="69"/>
    </row>
    <row r="60" spans="2:58">
      <c r="B60" s="22" t="s">
        <v>33</v>
      </c>
      <c r="C60" s="65"/>
      <c r="D60" s="76"/>
      <c r="E60" s="76">
        <v>3.9190537266638161</v>
      </c>
      <c r="F60" s="66">
        <v>3.3</v>
      </c>
      <c r="G60" s="65"/>
      <c r="H60" s="76"/>
      <c r="I60" s="76">
        <v>5.345661717473071</v>
      </c>
      <c r="J60" s="66">
        <v>3.3</v>
      </c>
      <c r="K60" s="67"/>
      <c r="L60" s="194"/>
      <c r="M60" s="194">
        <v>0.78853801169590654</v>
      </c>
      <c r="N60" s="68">
        <v>1</v>
      </c>
      <c r="P60" s="69"/>
    </row>
    <row r="61" spans="2:58">
      <c r="B61" s="35" t="s">
        <v>29</v>
      </c>
      <c r="C61" s="65"/>
      <c r="D61" s="76"/>
      <c r="E61" s="76"/>
      <c r="F61" s="66">
        <v>3.3</v>
      </c>
      <c r="G61" s="282"/>
      <c r="H61" s="76"/>
      <c r="I61" s="76"/>
      <c r="J61" s="66">
        <v>3</v>
      </c>
      <c r="K61" s="67"/>
      <c r="L61" s="194"/>
      <c r="M61" s="194"/>
      <c r="N61" s="68">
        <v>1</v>
      </c>
      <c r="P61" s="69"/>
    </row>
    <row r="62" spans="2:58">
      <c r="B62" s="36" t="s">
        <v>15</v>
      </c>
      <c r="C62" s="282"/>
      <c r="D62" s="76"/>
      <c r="E62" s="76">
        <v>8.7664670658682695</v>
      </c>
      <c r="F62" s="70">
        <f>[21]May_2022!$M$43</f>
        <v>3.4878406700073312</v>
      </c>
      <c r="G62" s="282"/>
      <c r="H62" s="76"/>
      <c r="I62" s="76">
        <v>10.607235567685406</v>
      </c>
      <c r="J62" s="66">
        <v>5.5</v>
      </c>
      <c r="K62" s="67"/>
      <c r="L62" s="194"/>
      <c r="M62" s="194">
        <v>0.66824561403508764</v>
      </c>
      <c r="N62" s="68">
        <v>1</v>
      </c>
      <c r="P62" s="69"/>
    </row>
    <row r="63" spans="2:58">
      <c r="B63" s="37" t="s">
        <v>16</v>
      </c>
      <c r="C63" s="65"/>
      <c r="D63" s="76">
        <v>3.0622243998040313</v>
      </c>
      <c r="E63" s="76">
        <v>2.5618217399039276</v>
      </c>
      <c r="F63" s="66">
        <v>3.3</v>
      </c>
      <c r="G63" s="282"/>
      <c r="H63" s="76">
        <v>4.90230047253743</v>
      </c>
      <c r="I63" s="76">
        <v>4.6996399261015078</v>
      </c>
      <c r="J63" s="66">
        <v>3.3</v>
      </c>
      <c r="K63" s="67"/>
      <c r="L63" s="194">
        <v>0.98924999999999996</v>
      </c>
      <c r="M63" s="194">
        <v>0.86251968503937015</v>
      </c>
      <c r="N63" s="71">
        <v>1</v>
      </c>
      <c r="P63" s="69"/>
    </row>
    <row r="64" spans="2:58" ht="14.4" thickBot="1">
      <c r="B64" s="38" t="s">
        <v>127</v>
      </c>
      <c r="C64" s="65"/>
      <c r="D64" s="76"/>
      <c r="E64" s="76"/>
      <c r="F64" s="66">
        <v>7.5</v>
      </c>
      <c r="G64" s="282"/>
      <c r="H64" s="76"/>
      <c r="I64" s="76"/>
      <c r="J64" s="66">
        <v>7.5</v>
      </c>
      <c r="K64" s="67"/>
      <c r="L64" s="194"/>
      <c r="M64" s="194"/>
      <c r="N64" s="71">
        <v>1</v>
      </c>
      <c r="P64" s="69"/>
    </row>
    <row r="65" spans="2:30" ht="14.4" thickBot="1">
      <c r="B65" s="437" t="s">
        <v>165</v>
      </c>
      <c r="C65" s="65"/>
      <c r="D65" s="76"/>
      <c r="E65" s="76">
        <v>4.8792508624938291</v>
      </c>
      <c r="F65" s="66">
        <v>4.8</v>
      </c>
      <c r="G65" s="282"/>
      <c r="H65" s="76"/>
      <c r="I65" s="76">
        <v>6.2003723782925313</v>
      </c>
      <c r="J65" s="66">
        <v>4.8</v>
      </c>
      <c r="K65" s="67"/>
      <c r="L65" s="194"/>
      <c r="M65" s="194">
        <v>0.33859649122807017</v>
      </c>
      <c r="N65" s="71">
        <v>1</v>
      </c>
      <c r="O65" s="74"/>
      <c r="P65" s="75"/>
    </row>
    <row r="66" spans="2:30">
      <c r="D66" s="76">
        <v>8.0184977578475447</v>
      </c>
      <c r="E66" s="76">
        <v>7.272051294485669</v>
      </c>
      <c r="F66" s="341">
        <v>4.5</v>
      </c>
      <c r="H66" s="76">
        <v>8.7358418784969345</v>
      </c>
      <c r="I66" s="76">
        <v>8.0842546344043686</v>
      </c>
      <c r="J66" s="341">
        <v>4.5</v>
      </c>
      <c r="L66" s="194">
        <v>0.73180296508847431</v>
      </c>
      <c r="M66" s="194">
        <v>0.74779318929492322</v>
      </c>
      <c r="N66" s="386">
        <v>1</v>
      </c>
    </row>
    <row r="70" spans="2:30">
      <c r="F70" s="315"/>
    </row>
    <row r="78" spans="2:30">
      <c r="AD78" s="275" t="s">
        <v>57</v>
      </c>
    </row>
  </sheetData>
  <mergeCells count="52">
    <mergeCell ref="M47:M48"/>
    <mergeCell ref="B55:F55"/>
    <mergeCell ref="G55:J55"/>
    <mergeCell ref="K55:N55"/>
    <mergeCell ref="G47:G48"/>
    <mergeCell ref="H47:H48"/>
    <mergeCell ref="I47:I48"/>
    <mergeCell ref="J47:J48"/>
    <mergeCell ref="K47:K48"/>
    <mergeCell ref="L47:L48"/>
    <mergeCell ref="F47:F48"/>
    <mergeCell ref="D42:E42"/>
    <mergeCell ref="B47:B48"/>
    <mergeCell ref="C47:C48"/>
    <mergeCell ref="D47:D48"/>
    <mergeCell ref="E47:E48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B32:B41"/>
    <mergeCell ref="D32:E33"/>
    <mergeCell ref="J32:K32"/>
    <mergeCell ref="L33:N33"/>
    <mergeCell ref="D34:E35"/>
    <mergeCell ref="D36:E37"/>
    <mergeCell ref="D38:E39"/>
    <mergeCell ref="D40:E4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V1:W1"/>
    <mergeCell ref="X1:Y1"/>
    <mergeCell ref="Z1:AA1"/>
    <mergeCell ref="B2:O2"/>
    <mergeCell ref="C5:D5"/>
    <mergeCell ref="M4:N4"/>
    <mergeCell ref="T1:U1"/>
  </mergeCells>
  <conditionalFormatting sqref="B42:B43">
    <cfRule type="cellIs" dxfId="1421" priority="136" operator="notBetween">
      <formula>#REF!</formula>
      <formula>#REF!</formula>
    </cfRule>
  </conditionalFormatting>
  <conditionalFormatting sqref="C46">
    <cfRule type="cellIs" dxfId="1420" priority="168" stopIfTrue="1" operator="greaterThan">
      <formula>100</formula>
    </cfRule>
    <cfRule type="cellIs" dxfId="1419" priority="167" stopIfTrue="1" operator="lessThan">
      <formula>96</formula>
    </cfRule>
  </conditionalFormatting>
  <conditionalFormatting sqref="C57">
    <cfRule type="cellIs" dxfId="1418" priority="87" stopIfTrue="1" operator="greaterThan">
      <formula>$F57</formula>
    </cfRule>
  </conditionalFormatting>
  <conditionalFormatting sqref="C57:C58">
    <cfRule type="cellIs" dxfId="1417" priority="88" stopIfTrue="1" operator="lessThanOrEqual">
      <formula>0</formula>
    </cfRule>
  </conditionalFormatting>
  <conditionalFormatting sqref="C58">
    <cfRule type="cellIs" dxfId="1416" priority="171" stopIfTrue="1" operator="greaterThan">
      <formula>$F57</formula>
    </cfRule>
  </conditionalFormatting>
  <conditionalFormatting sqref="C59:C61">
    <cfRule type="cellIs" dxfId="1415" priority="112" stopIfTrue="1" operator="greaterThan">
      <formula>$F59</formula>
    </cfRule>
  </conditionalFormatting>
  <conditionalFormatting sqref="C59:C62">
    <cfRule type="cellIs" dxfId="1414" priority="116" stopIfTrue="1" operator="lessThanOrEqual">
      <formula>0</formula>
    </cfRule>
  </conditionalFormatting>
  <conditionalFormatting sqref="C62">
    <cfRule type="cellIs" dxfId="1413" priority="115" stopIfTrue="1" operator="greaterThan">
      <formula>$J62</formula>
    </cfRule>
  </conditionalFormatting>
  <conditionalFormatting sqref="C68:C72">
    <cfRule type="cellIs" dxfId="1412" priority="159" stopIfTrue="1" operator="lessThanOrEqual">
      <formula>0</formula>
    </cfRule>
  </conditionalFormatting>
  <conditionalFormatting sqref="C69:C72">
    <cfRule type="cellIs" dxfId="1411" priority="158" stopIfTrue="1" operator="greaterThan">
      <formula>$F$68</formula>
    </cfRule>
  </conditionalFormatting>
  <conditionalFormatting sqref="C74">
    <cfRule type="cellIs" dxfId="1410" priority="160" stopIfTrue="1" operator="greaterThan">
      <formula>$F$68</formula>
    </cfRule>
    <cfRule type="cellIs" dxfId="1409" priority="161" stopIfTrue="1" operator="lessThanOrEqual">
      <formula>0</formula>
    </cfRule>
  </conditionalFormatting>
  <conditionalFormatting sqref="C68:D68 D70:D76">
    <cfRule type="cellIs" dxfId="1408" priority="153" stopIfTrue="1" operator="greaterThan">
      <formula>4.5</formula>
    </cfRule>
  </conditionalFormatting>
  <conditionalFormatting sqref="D42:D43">
    <cfRule type="cellIs" dxfId="1407" priority="137" operator="notBetween">
      <formula>#REF!</formula>
      <formula>#REF!</formula>
    </cfRule>
  </conditionalFormatting>
  <conditionalFormatting sqref="D57:D64">
    <cfRule type="cellIs" dxfId="1406" priority="126" stopIfTrue="1" operator="lessThanOrEqual">
      <formula>0</formula>
    </cfRule>
  </conditionalFormatting>
  <conditionalFormatting sqref="D65">
    <cfRule type="cellIs" dxfId="1405" priority="125" stopIfTrue="1" operator="lessThanOrEqual">
      <formula>0</formula>
    </cfRule>
  </conditionalFormatting>
  <conditionalFormatting sqref="D68 D70:D76">
    <cfRule type="cellIs" dxfId="1404" priority="154" stopIfTrue="1" operator="lessThanOrEqual">
      <formula>0</formula>
    </cfRule>
  </conditionalFormatting>
  <conditionalFormatting sqref="D69">
    <cfRule type="cellIs" dxfId="1403" priority="146" stopIfTrue="1" operator="lessThanOrEqual">
      <formula>0</formula>
    </cfRule>
    <cfRule type="cellIs" dxfId="1402" priority="145" stopIfTrue="1" operator="greaterThan">
      <formula>$F$68</formula>
    </cfRule>
  </conditionalFormatting>
  <conditionalFormatting sqref="D57:E66">
    <cfRule type="cellIs" dxfId="1401" priority="72" stopIfTrue="1" operator="greaterThan">
      <formula>$F57</formula>
    </cfRule>
  </conditionalFormatting>
  <conditionalFormatting sqref="D66:E66">
    <cfRule type="cellIs" dxfId="1400" priority="73" stopIfTrue="1" operator="lessThanOrEqual">
      <formula>0</formula>
    </cfRule>
  </conditionalFormatting>
  <conditionalFormatting sqref="E10:E17">
    <cfRule type="cellIs" dxfId="1399" priority="63" operator="lessThan">
      <formula>48</formula>
    </cfRule>
  </conditionalFormatting>
  <conditionalFormatting sqref="E46">
    <cfRule type="cellIs" dxfId="1398" priority="148" stopIfTrue="1" operator="greaterThan">
      <formula>100</formula>
    </cfRule>
    <cfRule type="cellIs" dxfId="1397" priority="147" stopIfTrue="1" operator="lessThan">
      <formula>96.8</formula>
    </cfRule>
  </conditionalFormatting>
  <conditionalFormatting sqref="E57:E65">
    <cfRule type="cellIs" dxfId="1396" priority="120" stopIfTrue="1" operator="lessThanOrEqual">
      <formula>0</formula>
    </cfRule>
  </conditionalFormatting>
  <conditionalFormatting sqref="E68:E76">
    <cfRule type="cellIs" dxfId="1395" priority="139" stopIfTrue="1" operator="greaterThan">
      <formula>4.5</formula>
    </cfRule>
    <cfRule type="cellIs" dxfId="1394" priority="140" stopIfTrue="1" operator="lessThanOrEqual">
      <formula>0</formula>
    </cfRule>
  </conditionalFormatting>
  <conditionalFormatting sqref="E45:F46">
    <cfRule type="cellIs" dxfId="1393" priority="150" stopIfTrue="1" operator="greaterThan">
      <formula>100</formula>
    </cfRule>
    <cfRule type="cellIs" dxfId="1392" priority="149" stopIfTrue="1" operator="lessThan">
      <formula>96.5</formula>
    </cfRule>
  </conditionalFormatting>
  <conditionalFormatting sqref="F10:F16">
    <cfRule type="cellIs" dxfId="1391" priority="65" operator="greaterThan">
      <formula>60</formula>
    </cfRule>
  </conditionalFormatting>
  <conditionalFormatting sqref="F17">
    <cfRule type="cellIs" dxfId="1390" priority="307" operator="greaterThan">
      <formula>$AA54</formula>
    </cfRule>
    <cfRule type="cellIs" dxfId="1389" priority="306" operator="greaterThan">
      <formula>$AA17</formula>
    </cfRule>
  </conditionalFormatting>
  <conditionalFormatting sqref="F46">
    <cfRule type="cellIs" dxfId="1388" priority="166" stopIfTrue="1" operator="greaterThan">
      <formula>100</formula>
    </cfRule>
    <cfRule type="cellIs" dxfId="1387" priority="165" stopIfTrue="1" operator="lessThan">
      <formula>96.8</formula>
    </cfRule>
  </conditionalFormatting>
  <conditionalFormatting sqref="F66">
    <cfRule type="cellIs" dxfId="1386" priority="121" stopIfTrue="1" operator="greaterThan">
      <formula>$F66</formula>
    </cfRule>
    <cfRule type="cellIs" dxfId="1385" priority="122" stopIfTrue="1" operator="lessThanOrEqual">
      <formula>0</formula>
    </cfRule>
  </conditionalFormatting>
  <conditionalFormatting sqref="G57:G58 C63:C65">
    <cfRule type="cellIs" dxfId="1384" priority="127" stopIfTrue="1" operator="greaterThan">
      <formula>$F57</formula>
    </cfRule>
    <cfRule type="cellIs" dxfId="1383" priority="128" stopIfTrue="1" operator="lessThanOrEqual">
      <formula>0</formula>
    </cfRule>
  </conditionalFormatting>
  <conditionalFormatting sqref="G57:G58">
    <cfRule type="cellIs" dxfId="1382" priority="93" stopIfTrue="1" operator="greaterThan">
      <formula>$F57</formula>
    </cfRule>
    <cfRule type="cellIs" dxfId="1381" priority="94" stopIfTrue="1" operator="lessThanOrEqual">
      <formula>0</formula>
    </cfRule>
  </conditionalFormatting>
  <conditionalFormatting sqref="G59">
    <cfRule type="cellIs" dxfId="1380" priority="169" stopIfTrue="1" operator="greaterThan">
      <formula>$F58</formula>
    </cfRule>
    <cfRule type="cellIs" dxfId="1379" priority="170" stopIfTrue="1" operator="lessThanOrEqual">
      <formula>0</formula>
    </cfRule>
  </conditionalFormatting>
  <conditionalFormatting sqref="G60">
    <cfRule type="cellIs" dxfId="1378" priority="124" stopIfTrue="1" operator="lessThanOrEqual">
      <formula>0</formula>
    </cfRule>
    <cfRule type="cellIs" dxfId="1377" priority="123" stopIfTrue="1" operator="greaterThan">
      <formula>$F60</formula>
    </cfRule>
  </conditionalFormatting>
  <conditionalFormatting sqref="G61:G65">
    <cfRule type="cellIs" dxfId="1376" priority="130" stopIfTrue="1" operator="lessThanOrEqual">
      <formula>0</formula>
    </cfRule>
    <cfRule type="cellIs" dxfId="1375" priority="129" stopIfTrue="1" operator="greaterThan">
      <formula>$J61</formula>
    </cfRule>
  </conditionalFormatting>
  <conditionalFormatting sqref="G70:G75 C73 C75">
    <cfRule type="cellIs" dxfId="1374" priority="163" stopIfTrue="1" operator="lessThanOrEqual">
      <formula>0</formula>
    </cfRule>
    <cfRule type="cellIs" dxfId="1373" priority="162" stopIfTrue="1" operator="greaterThan">
      <formula>4.5</formula>
    </cfRule>
  </conditionalFormatting>
  <conditionalFormatting sqref="G10:H17">
    <cfRule type="expression" dxfId="1372" priority="42">
      <formula>IF(+(IF(G10&lt;#REF!,0,IF(G10&gt;#REF!,0,1)))=0,1)</formula>
    </cfRule>
  </conditionalFormatting>
  <conditionalFormatting sqref="G69:H69">
    <cfRule type="cellIs" dxfId="1371" priority="143" stopIfTrue="1" operator="greaterThan">
      <formula>$F$68</formula>
    </cfRule>
    <cfRule type="cellIs" dxfId="1370" priority="144" stopIfTrue="1" operator="lessThanOrEqual">
      <formula>0</formula>
    </cfRule>
  </conditionalFormatting>
  <conditionalFormatting sqref="H31:H44 G32:G43">
    <cfRule type="cellIs" dxfId="1369" priority="141" stopIfTrue="1" operator="greaterThan">
      <formula>0</formula>
    </cfRule>
  </conditionalFormatting>
  <conditionalFormatting sqref="H49">
    <cfRule type="cellIs" dxfId="1368" priority="29" stopIfTrue="1" operator="greaterThan">
      <formula>$F$33</formula>
    </cfRule>
    <cfRule type="cellIs" dxfId="1367" priority="32" stopIfTrue="1" operator="lessThanOrEqual">
      <formula>0</formula>
    </cfRule>
    <cfRule type="cellIs" dxfId="1366" priority="31" stopIfTrue="1" operator="greaterThan">
      <formula>$F$31</formula>
    </cfRule>
    <cfRule type="cellIs" dxfId="1365" priority="30" stopIfTrue="1" operator="lessThanOrEqual">
      <formula>0</formula>
    </cfRule>
    <cfRule type="cellIs" dxfId="1364" priority="21" stopIfTrue="1" operator="greaterThan">
      <formula>$F$30</formula>
    </cfRule>
    <cfRule type="cellIs" dxfId="1363" priority="20" stopIfTrue="1" operator="lessThanOrEqual">
      <formula>0</formula>
    </cfRule>
  </conditionalFormatting>
  <conditionalFormatting sqref="H50">
    <cfRule type="cellIs" dxfId="1362" priority="77" stopIfTrue="1" operator="greaterThan">
      <formula>#REF!</formula>
    </cfRule>
    <cfRule type="cellIs" dxfId="1361" priority="76" stopIfTrue="1" operator="lessThanOrEqual">
      <formula>0</formula>
    </cfRule>
    <cfRule type="cellIs" dxfId="1360" priority="85" stopIfTrue="1" operator="greaterThan">
      <formula>#REF!</formula>
    </cfRule>
    <cfRule type="cellIs" dxfId="1359" priority="86" stopIfTrue="1" operator="lessThanOrEqual">
      <formula>0</formula>
    </cfRule>
  </conditionalFormatting>
  <conditionalFormatting sqref="H51">
    <cfRule type="cellIs" dxfId="1358" priority="6" stopIfTrue="1" operator="lessThanOrEqual">
      <formula>0</formula>
    </cfRule>
    <cfRule type="cellIs" dxfId="1357" priority="7" stopIfTrue="1" operator="greaterThan">
      <formula>$F$30</formula>
    </cfRule>
    <cfRule type="cellIs" dxfId="1356" priority="15" stopIfTrue="1" operator="greaterThan">
      <formula>$F$33</formula>
    </cfRule>
    <cfRule type="cellIs" dxfId="1355" priority="16" stopIfTrue="1" operator="lessThanOrEqual">
      <formula>0</formula>
    </cfRule>
    <cfRule type="cellIs" dxfId="1354" priority="17" stopIfTrue="1" operator="greaterThan">
      <formula>$F$31</formula>
    </cfRule>
    <cfRule type="cellIs" dxfId="1353" priority="18" stopIfTrue="1" operator="lessThanOrEqual">
      <formula>0</formula>
    </cfRule>
  </conditionalFormatting>
  <conditionalFormatting sqref="H52">
    <cfRule type="cellIs" dxfId="1352" priority="109" stopIfTrue="1" operator="lessThanOrEqual">
      <formula>0</formula>
    </cfRule>
    <cfRule type="cellIs" dxfId="1351" priority="108" stopIfTrue="1" operator="greaterThan">
      <formula>$F$59</formula>
    </cfRule>
    <cfRule type="cellIs" dxfId="1350" priority="100" stopIfTrue="1" operator="greaterThan">
      <formula>$F$56</formula>
    </cfRule>
    <cfRule type="cellIs" dxfId="1349" priority="111" stopIfTrue="1" operator="lessThanOrEqual">
      <formula>0</formula>
    </cfRule>
    <cfRule type="cellIs" dxfId="1348" priority="110" stopIfTrue="1" operator="greaterThan">
      <formula>$F$57</formula>
    </cfRule>
    <cfRule type="cellIs" dxfId="1347" priority="99" stopIfTrue="1" operator="lessThanOrEqual">
      <formula>0</formula>
    </cfRule>
  </conditionalFormatting>
  <conditionalFormatting sqref="H53">
    <cfRule type="cellIs" dxfId="1346" priority="302" stopIfTrue="1" operator="greaterThan">
      <formula>$F$54</formula>
    </cfRule>
    <cfRule type="cellIs" dxfId="1345" priority="303" stopIfTrue="1" operator="lessThanOrEqual">
      <formula>0</formula>
    </cfRule>
    <cfRule type="cellIs" dxfId="1344" priority="304" stopIfTrue="1" operator="greaterThan">
      <formula>$F$49</formula>
    </cfRule>
    <cfRule type="cellIs" dxfId="1343" priority="305" stopIfTrue="1" operator="lessThanOrEqual">
      <formula>0</formula>
    </cfRule>
  </conditionalFormatting>
  <conditionalFormatting sqref="H57:H64">
    <cfRule type="cellIs" dxfId="1342" priority="114" stopIfTrue="1" operator="lessThanOrEqual">
      <formula>0</formula>
    </cfRule>
    <cfRule type="cellIs" dxfId="1341" priority="113" stopIfTrue="1" operator="greaterThan">
      <formula>$J57</formula>
    </cfRule>
  </conditionalFormatting>
  <conditionalFormatting sqref="H65">
    <cfRule type="cellIs" dxfId="1340" priority="117" operator="greaterThan">
      <formula>5.3</formula>
    </cfRule>
  </conditionalFormatting>
  <conditionalFormatting sqref="H68 H70:H76">
    <cfRule type="cellIs" dxfId="1339" priority="156" stopIfTrue="1" operator="lessThanOrEqual">
      <formula>0</formula>
    </cfRule>
    <cfRule type="cellIs" dxfId="1338" priority="155" stopIfTrue="1" operator="greaterThan">
      <formula>4.5</formula>
    </cfRule>
  </conditionalFormatting>
  <conditionalFormatting sqref="H49:I49">
    <cfRule type="cellIs" dxfId="1337" priority="22" stopIfTrue="1" operator="lessThanOrEqual">
      <formula>0</formula>
    </cfRule>
    <cfRule type="cellIs" dxfId="1336" priority="19" stopIfTrue="1" operator="greaterThan">
      <formula>$F$32</formula>
    </cfRule>
  </conditionalFormatting>
  <conditionalFormatting sqref="H50:I50">
    <cfRule type="cellIs" dxfId="1335" priority="81" stopIfTrue="1" operator="greaterThan">
      <formula>#REF!</formula>
    </cfRule>
    <cfRule type="cellIs" dxfId="1334" priority="84" stopIfTrue="1" operator="lessThanOrEqual">
      <formula>0</formula>
    </cfRule>
    <cfRule type="cellIs" dxfId="1333" priority="75" stopIfTrue="1" operator="greaterThan">
      <formula>#REF!</formula>
    </cfRule>
    <cfRule type="cellIs" dxfId="1332" priority="78" stopIfTrue="1" operator="lessThanOrEqual">
      <formula>0</formula>
    </cfRule>
  </conditionalFormatting>
  <conditionalFormatting sqref="H51:I51">
    <cfRule type="cellIs" dxfId="1331" priority="5" stopIfTrue="1" operator="greaterThan">
      <formula>$F$32</formula>
    </cfRule>
    <cfRule type="cellIs" dxfId="1330" priority="8" stopIfTrue="1" operator="lessThanOrEqual">
      <formula>0</formula>
    </cfRule>
  </conditionalFormatting>
  <conditionalFormatting sqref="H52:I52">
    <cfRule type="cellIs" dxfId="1329" priority="98" stopIfTrue="1" operator="greaterThan">
      <formula>$F$58</formula>
    </cfRule>
    <cfRule type="cellIs" dxfId="1328" priority="101" stopIfTrue="1" operator="lessThanOrEqual">
      <formula>0</formula>
    </cfRule>
  </conditionalFormatting>
  <conditionalFormatting sqref="H66:I66">
    <cfRule type="cellIs" dxfId="1327" priority="71" stopIfTrue="1" operator="lessThanOrEqual">
      <formula>0</formula>
    </cfRule>
    <cfRule type="cellIs" dxfId="1326" priority="70" stopIfTrue="1" operator="greaterThan">
      <formula>$J66</formula>
    </cfRule>
  </conditionalFormatting>
  <conditionalFormatting sqref="I10">
    <cfRule type="cellIs" dxfId="1325" priority="2" stopIfTrue="1" operator="lessThan">
      <formula>96.8</formula>
    </cfRule>
    <cfRule type="cellIs" dxfId="1324" priority="3" stopIfTrue="1" operator="greaterThan">
      <formula>100</formula>
    </cfRule>
    <cfRule type="cellIs" dxfId="1323" priority="4" operator="lessThan">
      <formula>98</formula>
    </cfRule>
    <cfRule type="cellIs" dxfId="1322" priority="1" operator="lessThan">
      <formula>97.4</formula>
    </cfRule>
  </conditionalFormatting>
  <conditionalFormatting sqref="I17">
    <cfRule type="cellIs" dxfId="1321" priority="89" operator="lessThan">
      <formula>97.8</formula>
    </cfRule>
    <cfRule type="cellIs" dxfId="1320" priority="92" operator="lessThan">
      <formula>98</formula>
    </cfRule>
  </conditionalFormatting>
  <conditionalFormatting sqref="I49">
    <cfRule type="cellIs" dxfId="1319" priority="23" stopIfTrue="1" operator="greaterThan">
      <formula>$F$30</formula>
    </cfRule>
    <cfRule type="cellIs" dxfId="1318" priority="24" stopIfTrue="1" operator="lessThanOrEqual">
      <formula>0</formula>
    </cfRule>
    <cfRule type="cellIs" dxfId="1317" priority="25" stopIfTrue="1" operator="greaterThan">
      <formula>$F$32</formula>
    </cfRule>
    <cfRule type="cellIs" dxfId="1316" priority="26" stopIfTrue="1" operator="lessThanOrEqual">
      <formula>0</formula>
    </cfRule>
    <cfRule type="cellIs" dxfId="1315" priority="27" stopIfTrue="1" operator="greaterThan">
      <formula>$F$30</formula>
    </cfRule>
    <cfRule type="cellIs" dxfId="1314" priority="28" stopIfTrue="1" operator="lessThanOrEqual">
      <formula>0</formula>
    </cfRule>
  </conditionalFormatting>
  <conditionalFormatting sqref="I50">
    <cfRule type="cellIs" dxfId="1313" priority="79" stopIfTrue="1" operator="greaterThan">
      <formula>#REF!</formula>
    </cfRule>
    <cfRule type="cellIs" dxfId="1312" priority="83" stopIfTrue="1" operator="greaterThan">
      <formula>#REF!</formula>
    </cfRule>
    <cfRule type="cellIs" dxfId="1311" priority="82" stopIfTrue="1" operator="lessThanOrEqual">
      <formula>0</formula>
    </cfRule>
    <cfRule type="cellIs" dxfId="1310" priority="80" stopIfTrue="1" operator="lessThanOrEqual">
      <formula>0</formula>
    </cfRule>
  </conditionalFormatting>
  <conditionalFormatting sqref="I51">
    <cfRule type="cellIs" dxfId="1309" priority="14" stopIfTrue="1" operator="lessThanOrEqual">
      <formula>0</formula>
    </cfRule>
    <cfRule type="cellIs" dxfId="1308" priority="9" stopIfTrue="1" operator="greaterThan">
      <formula>$F$30</formula>
    </cfRule>
    <cfRule type="cellIs" dxfId="1307" priority="10" stopIfTrue="1" operator="lessThanOrEqual">
      <formula>0</formula>
    </cfRule>
    <cfRule type="cellIs" dxfId="1306" priority="11" stopIfTrue="1" operator="greaterThan">
      <formula>$F$32</formula>
    </cfRule>
    <cfRule type="cellIs" dxfId="1305" priority="12" stopIfTrue="1" operator="lessThanOrEqual">
      <formula>0</formula>
    </cfRule>
    <cfRule type="cellIs" dxfId="1304" priority="13" stopIfTrue="1" operator="greaterThan">
      <formula>$F$30</formula>
    </cfRule>
  </conditionalFormatting>
  <conditionalFormatting sqref="I52">
    <cfRule type="cellIs" dxfId="1303" priority="106" stopIfTrue="1" operator="greaterThan">
      <formula>$F$56</formula>
    </cfRule>
    <cfRule type="cellIs" dxfId="1302" priority="107" stopIfTrue="1" operator="lessThanOrEqual">
      <formula>0</formula>
    </cfRule>
    <cfRule type="cellIs" dxfId="1301" priority="104" stopIfTrue="1" operator="greaterThan">
      <formula>$F$58</formula>
    </cfRule>
    <cfRule type="cellIs" dxfId="1300" priority="105" stopIfTrue="1" operator="lessThanOrEqual">
      <formula>0</formula>
    </cfRule>
    <cfRule type="cellIs" dxfId="1299" priority="102" stopIfTrue="1" operator="greaterThan">
      <formula>$F$56</formula>
    </cfRule>
    <cfRule type="cellIs" dxfId="1298" priority="103" stopIfTrue="1" operator="lessThanOrEqual">
      <formula>0</formula>
    </cfRule>
  </conditionalFormatting>
  <conditionalFormatting sqref="I57:I65">
    <cfRule type="cellIs" dxfId="1297" priority="118" stopIfTrue="1" operator="greaterThan">
      <formula>$J57</formula>
    </cfRule>
    <cfRule type="cellIs" dxfId="1296" priority="119" stopIfTrue="1" operator="lessThanOrEqual">
      <formula>0</formula>
    </cfRule>
  </conditionalFormatting>
  <conditionalFormatting sqref="I68:I76">
    <cfRule type="cellIs" dxfId="1295" priority="151" stopIfTrue="1" operator="greaterThan">
      <formula>4.5</formula>
    </cfRule>
    <cfRule type="cellIs" dxfId="1294" priority="152" stopIfTrue="1" operator="lessThanOrEqual">
      <formula>0</formula>
    </cfRule>
  </conditionalFormatting>
  <conditionalFormatting sqref="J10 I11:J16">
    <cfRule type="cellIs" dxfId="1293" priority="66" operator="lessThan">
      <formula>97.9</formula>
    </cfRule>
  </conditionalFormatting>
  <conditionalFormatting sqref="J17">
    <cfRule type="cellIs" dxfId="1292" priority="90" operator="notBetween">
      <formula>98</formula>
      <formula>99.9</formula>
    </cfRule>
    <cfRule type="cellIs" dxfId="1291" priority="91" operator="lessThan">
      <formula>97.4</formula>
    </cfRule>
  </conditionalFormatting>
  <conditionalFormatting sqref="J20:J22">
    <cfRule type="cellIs" dxfId="1290" priority="37" operator="lessThan">
      <formula>98</formula>
    </cfRule>
    <cfRule type="cellIs" dxfId="1289" priority="35" stopIfTrue="1" operator="lessThan">
      <formula>96.8</formula>
    </cfRule>
    <cfRule type="cellIs" dxfId="1288" priority="36" stopIfTrue="1" operator="greaterThan">
      <formula>100</formula>
    </cfRule>
  </conditionalFormatting>
  <conditionalFormatting sqref="J20:J24">
    <cfRule type="cellIs" dxfId="1287" priority="34" operator="lessThan">
      <formula>97.4</formula>
    </cfRule>
  </conditionalFormatting>
  <conditionalFormatting sqref="J25">
    <cfRule type="cellIs" dxfId="1286" priority="38" operator="lessThan">
      <formula>98</formula>
    </cfRule>
  </conditionalFormatting>
  <conditionalFormatting sqref="J26:J28">
    <cfRule type="cellIs" dxfId="1285" priority="39" stopIfTrue="1" operator="lessThan">
      <formula>96.8</formula>
    </cfRule>
    <cfRule type="cellIs" dxfId="1284" priority="40" stopIfTrue="1" operator="greaterThan">
      <formula>100</formula>
    </cfRule>
  </conditionalFormatting>
  <conditionalFormatting sqref="J26:J29">
    <cfRule type="cellIs" dxfId="1283" priority="41" operator="lessThan">
      <formula>98</formula>
    </cfRule>
  </conditionalFormatting>
  <conditionalFormatting sqref="J66">
    <cfRule type="cellIs" dxfId="1282" priority="67" stopIfTrue="1" operator="greaterThan">
      <formula>$F66</formula>
    </cfRule>
    <cfRule type="cellIs" dxfId="1281" priority="68" stopIfTrue="1" operator="lessThanOrEqual">
      <formula>0</formula>
    </cfRule>
  </conditionalFormatting>
  <conditionalFormatting sqref="K10:K17">
    <cfRule type="cellIs" dxfId="1280" priority="64" operator="greaterThan">
      <formula>6.4</formula>
    </cfRule>
    <cfRule type="cellIs" dxfId="1279" priority="60" operator="lessThan">
      <formula>4</formula>
    </cfRule>
    <cfRule type="cellIs" dxfId="1278" priority="59" operator="greaterThan">
      <formula>6</formula>
    </cfRule>
  </conditionalFormatting>
  <conditionalFormatting sqref="K34:K43">
    <cfRule type="cellIs" dxfId="1277" priority="33" operator="notEqual">
      <formula>#REF!</formula>
    </cfRule>
  </conditionalFormatting>
  <conditionalFormatting sqref="K49:K53 K57:N65">
    <cfRule type="cellIs" dxfId="1276" priority="131" stopIfTrue="1" operator="lessThan">
      <formula>100%</formula>
    </cfRule>
  </conditionalFormatting>
  <conditionalFormatting sqref="K68:K73">
    <cfRule type="cellIs" dxfId="1275" priority="157" stopIfTrue="1" operator="lessThan">
      <formula>100%</formula>
    </cfRule>
  </conditionalFormatting>
  <conditionalFormatting sqref="K75:K76">
    <cfRule type="cellIs" dxfId="1274" priority="164" stopIfTrue="1" operator="lessThan">
      <formula>100%</formula>
    </cfRule>
  </conditionalFormatting>
  <conditionalFormatting sqref="L10:L17">
    <cfRule type="cellIs" dxfId="1273" priority="61" operator="between">
      <formula>61</formula>
      <formula>65</formula>
    </cfRule>
    <cfRule type="cellIs" dxfId="1272" priority="62" operator="greaterThan">
      <formula>65</formula>
    </cfRule>
  </conditionalFormatting>
  <conditionalFormatting sqref="L20:M31">
    <cfRule type="cellIs" dxfId="1271" priority="74" operator="lessThan">
      <formula>98</formula>
    </cfRule>
  </conditionalFormatting>
  <conditionalFormatting sqref="L35:N35">
    <cfRule type="cellIs" dxfId="1270" priority="95" operator="notEqual">
      <formula>#REF!</formula>
    </cfRule>
  </conditionalFormatting>
  <conditionalFormatting sqref="L66:N66">
    <cfRule type="cellIs" dxfId="1269" priority="69" stopIfTrue="1" operator="lessThan">
      <formula>100%</formula>
    </cfRule>
  </conditionalFormatting>
  <conditionalFormatting sqref="L68:N76">
    <cfRule type="cellIs" dxfId="1268" priority="142" stopIfTrue="1" operator="lessThan">
      <formula>100%</formula>
    </cfRule>
  </conditionalFormatting>
  <conditionalFormatting sqref="M10:M17">
    <cfRule type="expression" dxfId="1267" priority="57">
      <formula>IF(+(IF(M10&lt;V10,0,IF(M10&gt;W10,0,1)))=0,1)</formula>
    </cfRule>
  </conditionalFormatting>
  <conditionalFormatting sqref="M6:N6">
    <cfRule type="cellIs" dxfId="1266" priority="96" operator="greaterThanOrEqual">
      <formula>15</formula>
    </cfRule>
    <cfRule type="cellIs" dxfId="1265" priority="97" operator="greaterThanOrEqual">
      <formula>19</formula>
    </cfRule>
  </conditionalFormatting>
  <conditionalFormatting sqref="N10:N17">
    <cfRule type="expression" dxfId="1264" priority="58">
      <formula>IF(+(IF(N10&lt;X10,0,IF(N10&gt;Y10,0,1)))=0,1)</formula>
    </cfRule>
  </conditionalFormatting>
  <conditionalFormatting sqref="N17">
    <cfRule type="expression" dxfId="1263" priority="172">
      <formula>IF(+(IF(N17&lt;X59,0,IF(N17&gt;Y59,0,1)))=0,1)</formula>
    </cfRule>
    <cfRule type="expression" dxfId="1262" priority="173">
      <formula>IF(+(IF(N17&lt;X54,0,IF(N17&gt;Y54,0,1)))=0,1)</formula>
    </cfRule>
  </conditionalFormatting>
  <conditionalFormatting sqref="P6">
    <cfRule type="cellIs" dxfId="1261" priority="138" operator="greaterThanOrEqual">
      <formula>19</formula>
    </cfRule>
  </conditionalFormatting>
  <dataValidations count="1">
    <dataValidation type="list" allowBlank="1" showInputMessage="1" showErrorMessage="1" sqref="S8 B17" xr:uid="{6FE4ED10-A561-4913-8BB8-25FE52899104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0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213C-517E-40E5-92B6-3AC3FD7A05C3}">
  <sheetPr>
    <pageSetUpPr fitToPage="1"/>
  </sheetPr>
  <dimension ref="A1:BF77"/>
  <sheetViews>
    <sheetView topLeftCell="A8" zoomScale="80" zoomScaleNormal="80" workbookViewId="0">
      <selection activeCell="E10" sqref="E10:E16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45736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[23]Brewhouse!$A304</f>
        <v>CA201</v>
      </c>
      <c r="D10" s="279">
        <f>[23]Brewhouse!$AF304</f>
        <v>54.1</v>
      </c>
      <c r="E10" s="279">
        <f>[23]Brewhouse!$AI304</f>
        <v>50.4</v>
      </c>
      <c r="F10" s="278">
        <f>[23]Brewhouse!$V304</f>
        <v>62</v>
      </c>
      <c r="G10" s="279">
        <f>[23]Brewhouse!$AG304</f>
        <v>11.76</v>
      </c>
      <c r="H10" s="396">
        <v>11.8</v>
      </c>
      <c r="I10" s="368">
        <f>[23]Brewhouse!$AU304</f>
        <v>97.140907627227477</v>
      </c>
      <c r="J10" s="368">
        <f>[23]Brewhouse!$AV304</f>
        <v>98.293502309180397</v>
      </c>
      <c r="K10" s="281">
        <f>[23]Brewhouse!$Q304</f>
        <v>7.1657754010695243</v>
      </c>
      <c r="L10" s="276">
        <f>[23]Brewhouse!$P304</f>
        <v>60</v>
      </c>
      <c r="M10" s="397">
        <f>[23]Brewhouse!$U304-[23]Brewhouse!$T304</f>
        <v>0.13402777777777775</v>
      </c>
      <c r="N10" s="370">
        <f>[23]Brewhouse!$Z304</f>
        <v>0.27430555555555558</v>
      </c>
      <c r="O10" s="371" t="str">
        <f>[23]Brewhouse!$AX304</f>
        <v>R.Regis</v>
      </c>
      <c r="P10" s="441"/>
      <c r="Q10" s="347"/>
      <c r="S10" s="277" t="str">
        <f t="shared" ref="S10:S16" si="0">B10</f>
        <v>CARIB</v>
      </c>
      <c r="T10" s="296">
        <f t="shared" ref="T10:T16" si="1">VLOOKUP($B10,$S$3:$Y$9,2,FALSE)</f>
        <v>11.6</v>
      </c>
      <c r="U10" s="296">
        <f t="shared" ref="U10:U16" si="2">VLOOKUP($B10,$S$3:$Y$9,3,FALSE)</f>
        <v>12</v>
      </c>
      <c r="V10" s="297">
        <f t="shared" ref="V10:V16" si="3">VLOOKUP($B10,$S$3:$Y$9,4,FALSE)</f>
        <v>0</v>
      </c>
      <c r="W10" s="297">
        <f t="shared" ref="W10:W16" si="4">VLOOKUP($B10,$S$3:$Y$9,5,FALSE)</f>
        <v>0.118055555555556</v>
      </c>
      <c r="X10" s="297">
        <f t="shared" ref="X10:X16" si="5">VLOOKUP($B10,$S$3:$Y$9,6,FALSE)</f>
        <v>0.22569444444444445</v>
      </c>
      <c r="Y10" s="297">
        <f t="shared" ref="Y10:Y16" si="6">VLOOKUP($B10,$S$3:$Y$9,7,FALSE)</f>
        <v>0.2638888888888889</v>
      </c>
      <c r="Z10" s="297">
        <f t="shared" ref="Z10:Z16" si="7">VLOOKUP($B10,$S$3:$AA$9,8,FALSE)</f>
        <v>0</v>
      </c>
      <c r="AA10" s="296">
        <f t="shared" ref="AA10:AA16" si="8">VLOOKUP($B10,$S$3:$AA$9,9,FALSE)</f>
        <v>60</v>
      </c>
    </row>
    <row r="11" spans="2:30" ht="15.75" customHeight="1">
      <c r="B11" s="29" t="s">
        <v>6</v>
      </c>
      <c r="C11" s="366" t="str">
        <f>[23]Brewhouse!$A305</f>
        <v>CA202</v>
      </c>
      <c r="D11" s="279">
        <f>[23]Brewhouse!$AF305</f>
        <v>53.6</v>
      </c>
      <c r="E11" s="279">
        <f>[23]Brewhouse!$AI305</f>
        <v>50.1</v>
      </c>
      <c r="F11" s="278">
        <f>[23]Brewhouse!$V305</f>
        <v>61</v>
      </c>
      <c r="G11" s="279">
        <f>[23]Brewhouse!$AG305</f>
        <v>11.72</v>
      </c>
      <c r="H11" s="396">
        <v>11.7</v>
      </c>
      <c r="I11" s="368">
        <f>[23]Brewhouse!$AU305</f>
        <v>97.108675302847075</v>
      </c>
      <c r="J11" s="368">
        <f>[23]Brewhouse!$AV305</f>
        <v>98.309596647288217</v>
      </c>
      <c r="K11" s="281">
        <f>[23]Brewhouse!$Q305</f>
        <v>7.9999999999999929</v>
      </c>
      <c r="L11" s="276">
        <f>[23]Brewhouse!$P305</f>
        <v>59</v>
      </c>
      <c r="M11" s="397">
        <f>[23]Brewhouse!$U305-[23]Brewhouse!$T305</f>
        <v>0.11319444444444449</v>
      </c>
      <c r="N11" s="370">
        <f>[23]Brewhouse!$Z305</f>
        <v>0.25486111111111115</v>
      </c>
      <c r="O11" s="371" t="str">
        <f>[23]Brewhouse!$AX305</f>
        <v>R.Regis</v>
      </c>
      <c r="P11" s="441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[23]Brewhouse!$A306</f>
        <v>CA203</v>
      </c>
      <c r="D12" s="279">
        <f>[23]Brewhouse!$AF306</f>
        <v>54.4</v>
      </c>
      <c r="E12" s="279">
        <f>[23]Brewhouse!$AI306</f>
        <v>51.3</v>
      </c>
      <c r="F12" s="278">
        <f>[23]Brewhouse!$V306</f>
        <v>62</v>
      </c>
      <c r="G12" s="279">
        <f>[23]Brewhouse!$AG306</f>
        <v>11.78</v>
      </c>
      <c r="H12" s="396">
        <v>11.8</v>
      </c>
      <c r="I12" s="368">
        <f>[23]Brewhouse!$AU306</f>
        <v>99.955896952490676</v>
      </c>
      <c r="J12" s="368">
        <f>[23]Brewhouse!$AV306</f>
        <v>101.19223333072624</v>
      </c>
      <c r="K12" s="281">
        <f>[23]Brewhouse!$Q306</f>
        <v>6.46428571428571</v>
      </c>
      <c r="L12" s="276">
        <f>[23]Brewhouse!$P306</f>
        <v>60</v>
      </c>
      <c r="M12" s="397">
        <f>[23]Brewhouse!$U306-[23]Brewhouse!$T306</f>
        <v>0.11458333333333337</v>
      </c>
      <c r="N12" s="370">
        <f>[23]Brewhouse!$Z306</f>
        <v>0.28263888888888888</v>
      </c>
      <c r="O12" s="371" t="str">
        <f>[23]Brewhouse!$AX306</f>
        <v>R.Regis</v>
      </c>
      <c r="P12" s="441" t="s">
        <v>197</v>
      </c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[23]Brewhouse!$A307</f>
        <v>CA204</v>
      </c>
      <c r="D13" s="279">
        <f>[23]Brewhouse!$AF307</f>
        <v>53.3</v>
      </c>
      <c r="E13" s="279">
        <f>[23]Brewhouse!$AI307</f>
        <v>49.6</v>
      </c>
      <c r="F13" s="278">
        <f>[23]Brewhouse!$V307</f>
        <v>59</v>
      </c>
      <c r="G13" s="279">
        <f>[23]Brewhouse!$AG307</f>
        <v>11.76</v>
      </c>
      <c r="H13" s="396">
        <v>11.8</v>
      </c>
      <c r="I13" s="368">
        <f>[23]Brewhouse!$AU307</f>
        <v>96.285477000540993</v>
      </c>
      <c r="J13" s="368">
        <f>[23]Brewhouse!$AV307</f>
        <v>97.476609748020252</v>
      </c>
      <c r="K13" s="281">
        <f>[23]Brewhouse!$Q307</f>
        <v>6.2068965517241406</v>
      </c>
      <c r="L13" s="276">
        <f>[23]Brewhouse!$P307</f>
        <v>57</v>
      </c>
      <c r="M13" s="397">
        <f>[23]Brewhouse!$U307-[23]Brewhouse!$T307</f>
        <v>0.10138888888888886</v>
      </c>
      <c r="N13" s="370">
        <f>[23]Brewhouse!$Z307</f>
        <v>0.24236111111111114</v>
      </c>
      <c r="O13" s="371" t="str">
        <f>[23]Brewhouse!$AX307</f>
        <v>R.Sookram</v>
      </c>
      <c r="P13" s="441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[23]Brewhouse!$A308</f>
        <v>CA205</v>
      </c>
      <c r="D14" s="279">
        <f>[23]Brewhouse!$AF308</f>
        <v>53.3</v>
      </c>
      <c r="E14" s="279">
        <f>[23]Brewhouse!$AI308</f>
        <v>47.8</v>
      </c>
      <c r="F14" s="278">
        <f>[23]Brewhouse!$V308</f>
        <v>59</v>
      </c>
      <c r="G14" s="279">
        <f>[23]Brewhouse!$AG308</f>
        <v>11.7</v>
      </c>
      <c r="H14" s="396">
        <v>11.8</v>
      </c>
      <c r="I14" s="368">
        <f>[23]Brewhouse!$AU308</f>
        <v>95.136209191041715</v>
      </c>
      <c r="J14" s="368">
        <f>[23]Brewhouse!$AV308</f>
        <v>96.311336156333326</v>
      </c>
      <c r="K14" s="281">
        <f>[23]Brewhouse!$Q308</f>
        <v>6.1071428571428603</v>
      </c>
      <c r="L14" s="276">
        <f>[23]Brewhouse!$P308</f>
        <v>58</v>
      </c>
      <c r="M14" s="397">
        <f>[23]Brewhouse!$U308-[23]Brewhouse!$T308</f>
        <v>0.10069444444444442</v>
      </c>
      <c r="N14" s="370">
        <f>[23]Brewhouse!$Z308</f>
        <v>0.24097222222222214</v>
      </c>
      <c r="O14" s="371" t="str">
        <f>[23]Brewhouse!$AX308</f>
        <v>R.Sookram</v>
      </c>
      <c r="P14" s="441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[23]Brewhouse!$A309</f>
        <v>CA206</v>
      </c>
      <c r="D15" s="279">
        <f>[23]Brewhouse!$AF309</f>
        <v>55.9</v>
      </c>
      <c r="E15" s="279">
        <f>[23]Brewhouse!$AI309</f>
        <v>52.7</v>
      </c>
      <c r="F15" s="278">
        <f>[23]Brewhouse!$V309</f>
        <v>62</v>
      </c>
      <c r="G15" s="279">
        <f>[23]Brewhouse!$AG309</f>
        <v>11.95</v>
      </c>
      <c r="H15" s="396">
        <v>11.8</v>
      </c>
      <c r="I15" s="368">
        <f>[23]Brewhouse!$AU309</f>
        <v>104.12720344993677</v>
      </c>
      <c r="J15" s="368">
        <f>[23]Brewhouse!$AV309</f>
        <v>105.41534498276583</v>
      </c>
      <c r="K15" s="281">
        <f>[23]Brewhouse!$Q309</f>
        <v>6.6547406082289786</v>
      </c>
      <c r="L15" s="276">
        <f>[23]Brewhouse!$P309</f>
        <v>61</v>
      </c>
      <c r="M15" s="397">
        <f>[23]Brewhouse!$U309-[23]Brewhouse!$T309</f>
        <v>0.12083333333333346</v>
      </c>
      <c r="N15" s="370">
        <f>[23]Brewhouse!$Z309</f>
        <v>0.26041666666666674</v>
      </c>
      <c r="O15" s="371" t="str">
        <f>[23]Brewhouse!$AX309</f>
        <v>R.Sookram</v>
      </c>
      <c r="P15" s="441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 t="s">
        <v>6</v>
      </c>
      <c r="C16" s="366" t="str">
        <f>[23]Brewhouse!$A310</f>
        <v>CA207</v>
      </c>
      <c r="D16" s="279">
        <f>[23]Brewhouse!$AF310</f>
        <v>53.9</v>
      </c>
      <c r="E16" s="279">
        <f>[23]Brewhouse!$AI310</f>
        <v>50.7</v>
      </c>
      <c r="F16" s="278">
        <f>[23]Brewhouse!$V310</f>
        <v>59</v>
      </c>
      <c r="G16" s="279">
        <f>[23]Brewhouse!$AG310</f>
        <v>11.93</v>
      </c>
      <c r="H16" s="396">
        <v>11.9</v>
      </c>
      <c r="I16" s="368">
        <f>[23]Brewhouse!$AU310</f>
        <v>99.544031672518045</v>
      </c>
      <c r="J16" s="368">
        <f>[23]Brewhouse!$AV310</f>
        <v>100.77534117421787</v>
      </c>
      <c r="K16" s="281">
        <f>[23]Brewhouse!$Q310</f>
        <v>5.2898550724637703</v>
      </c>
      <c r="L16" s="276">
        <f>[23]Brewhouse!$P310</f>
        <v>62</v>
      </c>
      <c r="M16" s="397">
        <f>[23]Brewhouse!$U310-[23]Brewhouse!$T310</f>
        <v>0.10972222222222228</v>
      </c>
      <c r="N16" s="370">
        <f>[23]Brewhouse!$Z310</f>
        <v>0.25347222222222221</v>
      </c>
      <c r="O16" s="371" t="str">
        <f>[23]Brewhouse!$AX310</f>
        <v>K.Benjamin</v>
      </c>
      <c r="P16" s="441"/>
      <c r="Q16" s="347"/>
      <c r="S16" s="277" t="str">
        <f t="shared" si="0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369"/>
      <c r="Q17" s="347"/>
      <c r="S17" s="277">
        <f t="shared" ref="S17:S20" si="9">B17</f>
        <v>0</v>
      </c>
      <c r="T17" s="296" t="e">
        <f t="shared" ref="T17:T20" si="10">VLOOKUP($B17,$S$3:$Y$9,2,FALSE)</f>
        <v>#N/A</v>
      </c>
      <c r="U17" s="296" t="e">
        <f t="shared" ref="U17:U20" si="11">VLOOKUP($B17,$S$3:$Y$9,3,FALSE)</f>
        <v>#N/A</v>
      </c>
      <c r="V17" s="297" t="e">
        <f t="shared" ref="V17:V20" si="12">VLOOKUP($B17,$S$3:$Y$9,4,FALSE)</f>
        <v>#N/A</v>
      </c>
      <c r="W17" s="297" t="e">
        <f t="shared" ref="W17:W20" si="13">VLOOKUP($B17,$S$3:$Y$9,5,FALSE)</f>
        <v>#N/A</v>
      </c>
      <c r="X17" s="297" t="e">
        <f t="shared" ref="X17:X20" si="14">VLOOKUP($B17,$S$3:$Y$9,6,FALSE)</f>
        <v>#N/A</v>
      </c>
      <c r="Y17" s="297" t="e">
        <f t="shared" ref="Y17:Y20" si="15">VLOOKUP($B17,$S$3:$Y$9,7,FALSE)</f>
        <v>#N/A</v>
      </c>
      <c r="Z17" s="297" t="e">
        <f t="shared" ref="Z17:Z20" si="16">VLOOKUP($B17,$S$3:$AA$9,8,FALSE)</f>
        <v>#N/A</v>
      </c>
      <c r="AA17" s="296" t="e">
        <f t="shared" ref="AA17:AA20" si="17">VLOOKUP($B17,$S$3:$AA$9,9,FALSE)</f>
        <v>#N/A</v>
      </c>
    </row>
    <row r="18" spans="1:27" ht="14.4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369"/>
      <c r="Q18" s="347"/>
      <c r="S18" s="277">
        <f t="shared" si="9"/>
        <v>0</v>
      </c>
      <c r="T18" s="296" t="e">
        <f t="shared" si="10"/>
        <v>#N/A</v>
      </c>
      <c r="U18" s="296" t="e">
        <f t="shared" si="11"/>
        <v>#N/A</v>
      </c>
      <c r="V18" s="297" t="e">
        <f t="shared" si="12"/>
        <v>#N/A</v>
      </c>
      <c r="W18" s="297" t="e">
        <f t="shared" si="13"/>
        <v>#N/A</v>
      </c>
      <c r="X18" s="297" t="e">
        <f t="shared" si="14"/>
        <v>#N/A</v>
      </c>
      <c r="Y18" s="297" t="e">
        <f t="shared" si="15"/>
        <v>#N/A</v>
      </c>
      <c r="Z18" s="297" t="e">
        <f t="shared" si="16"/>
        <v>#N/A</v>
      </c>
      <c r="AA18" s="296" t="e">
        <f t="shared" si="17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481" t="s">
        <v>34</v>
      </c>
      <c r="J19" s="481"/>
      <c r="K19" s="481"/>
      <c r="L19" s="481"/>
      <c r="M19" s="481"/>
      <c r="N19" s="481"/>
      <c r="O19" s="1"/>
      <c r="P19" s="12"/>
      <c r="S19" s="277">
        <f t="shared" si="9"/>
        <v>0</v>
      </c>
      <c r="T19" s="296" t="e">
        <f t="shared" si="10"/>
        <v>#N/A</v>
      </c>
      <c r="U19" s="296" t="e">
        <f t="shared" si="11"/>
        <v>#N/A</v>
      </c>
      <c r="V19" s="297" t="e">
        <f t="shared" si="12"/>
        <v>#N/A</v>
      </c>
      <c r="W19" s="297" t="e">
        <f t="shared" si="13"/>
        <v>#N/A</v>
      </c>
      <c r="X19" s="297" t="e">
        <f t="shared" si="14"/>
        <v>#N/A</v>
      </c>
      <c r="Y19" s="297" t="e">
        <f t="shared" si="15"/>
        <v>#N/A</v>
      </c>
      <c r="Z19" s="297" t="e">
        <f t="shared" si="16"/>
        <v>#N/A</v>
      </c>
      <c r="AA19" s="296" t="e">
        <f t="shared" si="17"/>
        <v>#N/A</v>
      </c>
    </row>
    <row r="20" spans="1:27" ht="15" thickBot="1">
      <c r="B20" s="388" t="s">
        <v>145</v>
      </c>
      <c r="C20" s="388"/>
      <c r="D20" s="459" t="s">
        <v>35</v>
      </c>
      <c r="E20" s="460"/>
      <c r="F20" s="294"/>
      <c r="G20" s="294"/>
      <c r="H20" s="348"/>
      <c r="I20" s="24" t="s">
        <v>17</v>
      </c>
      <c r="J20" s="25" t="s">
        <v>36</v>
      </c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S20" s="277" t="str">
        <f t="shared" si="9"/>
        <v>BRAND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" customHeight="1">
      <c r="A21" s="28"/>
      <c r="B21" s="482" t="str">
        <f>I22</f>
        <v>STAG</v>
      </c>
      <c r="C21" s="362" cm="1">
        <f t="array" ref="C21:C24">[24]Process!$D$92:$D$95</f>
        <v>12.1</v>
      </c>
      <c r="D21" s="485">
        <v>11.79</v>
      </c>
      <c r="E21" s="486"/>
      <c r="F21" s="294"/>
      <c r="G21" s="294"/>
      <c r="H21" s="348"/>
      <c r="I21" s="29" t="s">
        <v>6</v>
      </c>
      <c r="J21" s="280">
        <f>AVERAGE(I10:I16)</f>
        <v>98.471200170943249</v>
      </c>
      <c r="K21" s="284">
        <f>COUNTA([23]Brewhouse!$A$255:$A$310)</f>
        <v>56</v>
      </c>
      <c r="L21" s="302">
        <f>AVERAGE([23]Brewhouse!$AU$255:$AU310)</f>
        <v>98.870626871945134</v>
      </c>
      <c r="M21" s="302">
        <f>AVERAGE([23]Brewhouse!$AU$102:$AU$171,[23]Brewhouse!$AU$173:$AU$253,[23]Brewhouse!$AU$255:$AU$310)</f>
        <v>96.4899553529294</v>
      </c>
      <c r="N21" s="30">
        <v>98</v>
      </c>
      <c r="O21" s="11"/>
      <c r="P21" s="31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5" customHeight="1">
      <c r="A22" s="28"/>
      <c r="B22" s="483"/>
      <c r="C22" s="349">
        <v>12</v>
      </c>
      <c r="D22" s="487"/>
      <c r="E22" s="488"/>
      <c r="F22" s="294"/>
      <c r="G22" s="294"/>
      <c r="H22" s="348"/>
      <c r="I22" s="33" t="s">
        <v>9</v>
      </c>
      <c r="J22" s="280"/>
      <c r="K22" s="284">
        <f>COUNTA([24]Brewhouse!$A$105:$A$128)</f>
        <v>24</v>
      </c>
      <c r="L22" s="302">
        <f>AVERAGE([24]Brewhouse!$AS$105:$AS$128)</f>
        <v>98.709474475329685</v>
      </c>
      <c r="M22" s="302">
        <f>AVERAGE([24]Brewhouse!$AS$15:$AS$64,[24]Brewhouse!$AS$66:$AS$103,[24]Brewhouse!$AS$105:$AS$128)</f>
        <v>96.492521063456024</v>
      </c>
      <c r="N22" s="30">
        <v>98</v>
      </c>
      <c r="O22" s="11"/>
      <c r="P22" s="31"/>
      <c r="S22" s="277"/>
      <c r="T22" s="296"/>
      <c r="U22" s="296"/>
      <c r="V22" s="297"/>
      <c r="W22" s="297"/>
      <c r="X22" s="297"/>
      <c r="Y22" s="297"/>
      <c r="Z22" s="297"/>
      <c r="AA22" s="296"/>
    </row>
    <row r="23" spans="1:27" ht="14.7" customHeight="1">
      <c r="A23" s="28"/>
      <c r="B23" s="483"/>
      <c r="C23" s="349">
        <v>12</v>
      </c>
      <c r="D23" s="485">
        <v>11.76</v>
      </c>
      <c r="E23" s="486"/>
      <c r="F23" s="294"/>
      <c r="G23" s="294"/>
      <c r="H23" s="348"/>
      <c r="I23" s="34" t="s">
        <v>12</v>
      </c>
      <c r="J23" s="280"/>
      <c r="K23" s="284">
        <f>COUNTA([25]Brewhouse!$A$24:$A$31)</f>
        <v>8</v>
      </c>
      <c r="L23" s="302">
        <f>AVERAGE([25]Brewhouse!$AU$24:$AU$31)</f>
        <v>98.193576760694924</v>
      </c>
      <c r="M23" s="302">
        <f>AVERAGE([25]Brewhouse!$AU$4:$AU$7,[25]Brewhouse!$AU$9:$AU$22,[25]Brewhouse!$AU$24:$AU$31)</f>
        <v>96.826546264179598</v>
      </c>
      <c r="N23" s="30">
        <v>98</v>
      </c>
      <c r="O23" s="11"/>
      <c r="P23" s="31"/>
      <c r="S23" s="23"/>
      <c r="T23" s="1"/>
      <c r="U23" s="1"/>
      <c r="AA23" s="285"/>
    </row>
    <row r="24" spans="1:27" ht="14.7" customHeight="1">
      <c r="A24" s="28"/>
      <c r="B24" s="483"/>
      <c r="C24" s="349">
        <v>11.8</v>
      </c>
      <c r="D24" s="487"/>
      <c r="E24" s="488"/>
      <c r="F24" s="294"/>
      <c r="G24" s="294"/>
      <c r="H24" s="348"/>
      <c r="I24" s="22" t="s">
        <v>33</v>
      </c>
      <c r="J24" s="280"/>
      <c r="K24" s="284"/>
      <c r="L24" s="302"/>
      <c r="M24" s="302">
        <f>AVERAGE([26]Brewhouse!$AV$5:$AV$14,[26]Brewhouse!$AV$16:$AV$19)</f>
        <v>98.230957815544443</v>
      </c>
      <c r="N24" s="30">
        <v>98</v>
      </c>
      <c r="O24" s="11"/>
      <c r="P24" s="31"/>
      <c r="S24" s="23"/>
      <c r="T24" s="1"/>
      <c r="U24" s="1"/>
      <c r="AA24" s="285"/>
    </row>
    <row r="25" spans="1:27" ht="14.7" customHeight="1">
      <c r="A25" s="28"/>
      <c r="B25" s="483"/>
      <c r="C25" s="349"/>
      <c r="D25" s="485"/>
      <c r="E25" s="486"/>
      <c r="F25" s="294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S25" s="23"/>
    </row>
    <row r="26" spans="1:27" ht="14.7" customHeight="1">
      <c r="A26" s="28"/>
      <c r="B26" s="483"/>
      <c r="C26" s="349"/>
      <c r="D26" s="487"/>
      <c r="E26" s="488"/>
      <c r="F26" s="294"/>
      <c r="G26" s="294"/>
      <c r="H26" s="348"/>
      <c r="I26" s="36" t="s">
        <v>15</v>
      </c>
      <c r="J26" s="323"/>
      <c r="K26" s="284"/>
      <c r="L26" s="302"/>
      <c r="M26" s="302">
        <f>AVERAGE([27]Brewhouse!$AT$4:$AT$11)</f>
        <v>94.812616598822359</v>
      </c>
      <c r="N26" s="30">
        <v>98</v>
      </c>
      <c r="O26" s="11"/>
      <c r="P26" s="31"/>
      <c r="S26" s="23"/>
    </row>
    <row r="27" spans="1:27" ht="14.7" customHeight="1">
      <c r="A27" s="28"/>
      <c r="B27" s="483"/>
      <c r="C27" s="349"/>
      <c r="D27" s="485"/>
      <c r="E27" s="486"/>
      <c r="F27" s="294"/>
      <c r="G27" s="294"/>
      <c r="H27" s="348"/>
      <c r="I27" s="37" t="s">
        <v>16</v>
      </c>
      <c r="J27" s="323"/>
      <c r="K27" s="284">
        <f>COUNTA([22]Brewhouse!$A$22:$A$29)</f>
        <v>8</v>
      </c>
      <c r="L27" s="302">
        <f>AVERAGE([22]Brewhouse!$AY$22:$AY$29)</f>
        <v>98.065834237903474</v>
      </c>
      <c r="M27" s="302">
        <f>AVERAGE([22]Brewhouse!$AY$6:$AY$13,[22]Brewhouse!$AY$15:$AY$20,[22]Brewhouse!$AY$22:$AY$29)</f>
        <v>95.660462473217876</v>
      </c>
      <c r="N27" s="30">
        <v>98</v>
      </c>
      <c r="O27" s="11"/>
      <c r="P27" s="31" t="s">
        <v>41</v>
      </c>
      <c r="S27" s="23"/>
      <c r="X27" s="275" t="s">
        <v>41</v>
      </c>
    </row>
    <row r="28" spans="1:27" ht="14.7" customHeight="1">
      <c r="A28" s="28"/>
      <c r="B28" s="483"/>
      <c r="C28" s="349"/>
      <c r="D28" s="487"/>
      <c r="E28" s="488"/>
      <c r="F28" s="294"/>
      <c r="G28" s="294"/>
      <c r="H28" s="348"/>
      <c r="I28" s="415" t="s">
        <v>158</v>
      </c>
      <c r="J28" s="326"/>
      <c r="K28" s="284"/>
      <c r="L28" s="305"/>
      <c r="M28" s="305">
        <f>AVERAGE([28]Brewhouse!$AU$5:$AU$8)</f>
        <v>91.006888337619571</v>
      </c>
      <c r="N28" s="30">
        <v>98</v>
      </c>
      <c r="O28" s="11"/>
      <c r="P28" s="31"/>
      <c r="S28" s="23"/>
    </row>
    <row r="29" spans="1:27" ht="14.7" customHeight="1">
      <c r="A29" s="28"/>
      <c r="B29" s="483"/>
      <c r="C29" s="349"/>
      <c r="D29" s="485"/>
      <c r="E29" s="486"/>
      <c r="F29" s="294"/>
      <c r="G29" s="294"/>
      <c r="H29" s="348"/>
      <c r="I29" s="414" t="s">
        <v>157</v>
      </c>
      <c r="J29" s="326"/>
      <c r="K29" s="284"/>
      <c r="L29" s="305"/>
      <c r="M29" s="305"/>
      <c r="N29" s="30">
        <v>98</v>
      </c>
      <c r="O29" s="11"/>
      <c r="P29" s="31"/>
      <c r="S29" s="23"/>
    </row>
    <row r="30" spans="1:27" ht="15" customHeight="1" thickBot="1">
      <c r="A30" s="28"/>
      <c r="B30" s="483"/>
      <c r="C30" s="349"/>
      <c r="D30" s="487"/>
      <c r="E30" s="488"/>
      <c r="F30" s="294"/>
      <c r="G30" s="294"/>
      <c r="H30" s="348"/>
      <c r="I30" s="410" t="s">
        <v>156</v>
      </c>
      <c r="J30" s="327"/>
      <c r="K30" s="411"/>
      <c r="L30" s="412"/>
      <c r="M30" s="412"/>
      <c r="N30" s="413">
        <v>98</v>
      </c>
      <c r="O30" s="11"/>
      <c r="P30" s="31"/>
      <c r="S30" s="23"/>
    </row>
    <row r="31" spans="1:27" ht="15" customHeight="1" thickBot="1">
      <c r="A31" s="28"/>
      <c r="B31" s="483"/>
      <c r="C31" s="349"/>
      <c r="D31" s="485"/>
      <c r="E31" s="486"/>
      <c r="F31" s="294"/>
      <c r="G31" s="294"/>
      <c r="H31" s="348"/>
      <c r="I31" s="1"/>
      <c r="J31" s="39"/>
      <c r="K31" s="408">
        <f>SUM(K21:K30)</f>
        <v>96</v>
      </c>
      <c r="L31" s="409">
        <f>((L21*K21)+(L22*K22)+(L23*K23)+(L24*K24)+(L25*K25)+(K28*L28)+(L26*K26)+(L27*K27)+(L30*K30))/(K31)</f>
        <v>98.706851877350289</v>
      </c>
      <c r="M31" s="409">
        <f>AVERAGE('[29]Jan 31st'!$L$65,'[30]Feb 28th'!$L$35,L31)</f>
        <v>96.71660943491645</v>
      </c>
      <c r="N31" s="40">
        <v>98</v>
      </c>
      <c r="O31" s="11"/>
      <c r="P31" s="31"/>
      <c r="S31" s="23"/>
    </row>
    <row r="32" spans="1:27" ht="15" thickBot="1">
      <c r="B32" s="484"/>
      <c r="C32" s="350"/>
      <c r="D32" s="487"/>
      <c r="E32" s="488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S32" s="23"/>
    </row>
    <row r="33" spans="2:57" ht="15" thickBot="1">
      <c r="B33" s="547"/>
      <c r="C33" s="362"/>
      <c r="D33" s="498"/>
      <c r="E33" s="499"/>
      <c r="F33" s="43"/>
      <c r="G33" s="41"/>
      <c r="H33" s="41"/>
      <c r="I33" s="42"/>
      <c r="J33" s="501" t="s">
        <v>129</v>
      </c>
      <c r="K33" s="501"/>
      <c r="L33" s="294"/>
      <c r="M33" s="294"/>
      <c r="N33" s="294"/>
      <c r="O33" s="294"/>
      <c r="P33" s="12"/>
      <c r="S33" s="23" t="s">
        <v>41</v>
      </c>
    </row>
    <row r="34" spans="2:57" ht="13.5" customHeight="1" thickBot="1">
      <c r="B34" s="483"/>
      <c r="C34" s="349"/>
      <c r="D34" s="500"/>
      <c r="E34" s="488"/>
      <c r="F34" s="43"/>
      <c r="G34" s="41"/>
      <c r="H34" s="41"/>
      <c r="I34" s="42"/>
      <c r="J34" s="418" t="s">
        <v>17</v>
      </c>
      <c r="K34" s="293" t="s">
        <v>147</v>
      </c>
      <c r="L34" s="502" t="s">
        <v>136</v>
      </c>
      <c r="M34" s="502"/>
      <c r="N34" s="503"/>
      <c r="O34" s="294"/>
      <c r="P34" s="12"/>
      <c r="S34" s="23"/>
    </row>
    <row r="35" spans="2:57" ht="15" customHeight="1" thickBot="1">
      <c r="B35" s="483"/>
      <c r="C35" s="349"/>
      <c r="D35" s="504"/>
      <c r="E35" s="486"/>
      <c r="F35" s="43"/>
      <c r="G35" s="41"/>
      <c r="H35" s="41"/>
      <c r="I35" s="42"/>
      <c r="J35" s="419" t="s">
        <v>6</v>
      </c>
      <c r="K35" s="324">
        <f>COUNTA(B10:B16)</f>
        <v>7</v>
      </c>
      <c r="L35" s="343" t="s">
        <v>37</v>
      </c>
      <c r="M35" s="307" t="s">
        <v>38</v>
      </c>
      <c r="N35" s="307" t="s">
        <v>84</v>
      </c>
      <c r="O35" s="294"/>
      <c r="P35" s="12"/>
      <c r="S35" s="23"/>
    </row>
    <row r="36" spans="2:57" ht="15.75" customHeight="1" thickBot="1">
      <c r="B36" s="483"/>
      <c r="C36" s="349"/>
      <c r="D36" s="500"/>
      <c r="E36" s="488"/>
      <c r="F36" s="43"/>
      <c r="G36" s="41"/>
      <c r="H36" s="41"/>
      <c r="I36" s="42"/>
      <c r="J36" s="420" t="s">
        <v>9</v>
      </c>
      <c r="K36" s="324"/>
      <c r="L36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19th'!K45)</f>
        <v>6.333333333333333</v>
      </c>
      <c r="M36" s="325">
        <f>AVERAGE('[29]Jan 29th '!$M$70,'[30]Feb 28th'!$L$40,L36)</f>
        <v>6.6147741147741144</v>
      </c>
      <c r="N36" s="400">
        <v>10</v>
      </c>
      <c r="O36" s="294"/>
      <c r="P36" s="12"/>
      <c r="S36" s="23"/>
    </row>
    <row r="37" spans="2:57" ht="15" customHeight="1">
      <c r="B37" s="483"/>
      <c r="C37" s="349"/>
      <c r="D37" s="504"/>
      <c r="E37" s="486"/>
      <c r="F37" s="43"/>
      <c r="G37" s="41"/>
      <c r="H37" s="41"/>
      <c r="I37" s="42"/>
      <c r="J37" s="421" t="s">
        <v>40</v>
      </c>
      <c r="K37" s="324"/>
      <c r="L37" s="294"/>
      <c r="M37" s="294"/>
      <c r="N37" s="294"/>
      <c r="O37" s="294"/>
      <c r="P37" s="12"/>
      <c r="S37" s="23"/>
    </row>
    <row r="38" spans="2:57" ht="15" customHeight="1">
      <c r="B38" s="483"/>
      <c r="C38" s="349"/>
      <c r="D38" s="500"/>
      <c r="E38" s="488"/>
      <c r="F38" s="43"/>
      <c r="G38" s="41"/>
      <c r="H38" s="41"/>
      <c r="I38" s="42"/>
      <c r="J38" s="422" t="s">
        <v>33</v>
      </c>
      <c r="K38" s="324"/>
      <c r="L38" s="294"/>
      <c r="M38" s="294"/>
      <c r="N38" s="294"/>
      <c r="O38" s="294"/>
      <c r="P38" s="12"/>
      <c r="S38" s="23"/>
    </row>
    <row r="39" spans="2:57" ht="14.4">
      <c r="B39" s="483"/>
      <c r="C39" s="349"/>
      <c r="D39" s="504"/>
      <c r="E39" s="486"/>
      <c r="F39" s="43"/>
      <c r="G39" s="41"/>
      <c r="H39" s="41"/>
      <c r="I39" s="42"/>
      <c r="J39" s="423" t="s">
        <v>16</v>
      </c>
      <c r="K39" s="324"/>
      <c r="L39" s="294"/>
      <c r="M39" s="294"/>
      <c r="N39" s="294"/>
      <c r="O39" s="294"/>
      <c r="P39" s="12"/>
      <c r="S39" s="23"/>
      <c r="BD39" s="44"/>
      <c r="BE39" s="44"/>
    </row>
    <row r="40" spans="2:57" ht="14.4">
      <c r="B40" s="483"/>
      <c r="C40" s="349"/>
      <c r="D40" s="500"/>
      <c r="E40" s="488"/>
      <c r="F40" s="43"/>
      <c r="G40" s="41"/>
      <c r="H40" s="41"/>
      <c r="I40" s="42"/>
      <c r="J40" s="424" t="s">
        <v>15</v>
      </c>
      <c r="K40" s="324"/>
      <c r="L40" s="294"/>
      <c r="M40" s="294"/>
      <c r="N40" s="294"/>
      <c r="O40" s="294"/>
      <c r="P40" s="12"/>
      <c r="S40" s="23"/>
      <c r="BD40" s="44"/>
      <c r="BE40" s="44"/>
    </row>
    <row r="41" spans="2:57" ht="14.4">
      <c r="B41" s="483"/>
      <c r="C41" s="349"/>
      <c r="D41" s="505"/>
      <c r="E41" s="490"/>
      <c r="F41" s="43"/>
      <c r="G41" s="41"/>
      <c r="H41" s="41"/>
      <c r="I41" s="42"/>
      <c r="J41" s="424" t="s">
        <v>149</v>
      </c>
      <c r="K41" s="324"/>
      <c r="L41" s="294"/>
      <c r="M41" s="294"/>
      <c r="N41" s="294"/>
      <c r="O41" s="294"/>
      <c r="P41" s="12"/>
      <c r="S41" s="23"/>
      <c r="BD41" s="44"/>
      <c r="BE41" s="44"/>
    </row>
    <row r="42" spans="2:57" ht="15" thickBot="1">
      <c r="B42" s="484"/>
      <c r="C42" s="350"/>
      <c r="D42" s="506"/>
      <c r="E42" s="507"/>
      <c r="F42" s="43"/>
      <c r="G42" s="41"/>
      <c r="H42" s="41"/>
      <c r="I42" s="42"/>
      <c r="J42" s="424" t="s">
        <v>148</v>
      </c>
      <c r="K42" s="324"/>
      <c r="L42" s="294"/>
      <c r="M42" s="294"/>
      <c r="N42" s="294"/>
      <c r="O42" s="294"/>
      <c r="P42" s="12"/>
      <c r="S42" s="23"/>
      <c r="BD42" s="44"/>
      <c r="BE42" s="44"/>
    </row>
    <row r="43" spans="2:57" ht="17.7" customHeight="1" thickBot="1">
      <c r="B43" s="312" t="s">
        <v>139</v>
      </c>
      <c r="C43" s="313"/>
      <c r="D43" s="508">
        <f>AVERAGE(D21:E42)</f>
        <v>11.774999999999999</v>
      </c>
      <c r="E43" s="509"/>
      <c r="F43" s="43"/>
      <c r="G43" s="41"/>
      <c r="H43" s="41"/>
      <c r="I43" s="42"/>
      <c r="J43" s="425" t="s">
        <v>134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2:57" ht="17.7" customHeight="1">
      <c r="B44" s="363"/>
      <c r="C44" s="364"/>
      <c r="D44" s="365"/>
      <c r="E44" s="365"/>
      <c r="F44" s="43"/>
      <c r="G44" s="41"/>
      <c r="H44" s="41"/>
      <c r="I44" s="42"/>
      <c r="J44" s="425" t="s">
        <v>131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2:57" ht="15.75" customHeight="1">
      <c r="B45" s="45"/>
      <c r="C45" s="11"/>
      <c r="D45" s="11"/>
      <c r="E45" s="46"/>
      <c r="F45" s="23"/>
      <c r="G45" s="11"/>
      <c r="H45" s="41"/>
      <c r="I45" s="42"/>
      <c r="J45" s="426" t="s">
        <v>130</v>
      </c>
      <c r="K45" s="324">
        <f>SUM(K35:K44)</f>
        <v>7</v>
      </c>
      <c r="L45" s="294"/>
      <c r="M45" s="294"/>
      <c r="N45" s="294"/>
      <c r="O45" s="294"/>
      <c r="P45" s="12"/>
    </row>
    <row r="46" spans="2:57" ht="20.25" customHeight="1">
      <c r="B46" s="15" t="s">
        <v>42</v>
      </c>
      <c r="C46" s="1" t="s">
        <v>43</v>
      </c>
      <c r="D46" s="1"/>
      <c r="E46" s="1"/>
      <c r="I46" s="42"/>
      <c r="L46" s="294"/>
      <c r="P46" s="334"/>
    </row>
    <row r="47" spans="2:57" ht="15" customHeight="1" thickBot="1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/>
      <c r="O47" s="48"/>
      <c r="P47" s="49"/>
      <c r="X47" s="275" t="s">
        <v>41</v>
      </c>
    </row>
    <row r="48" spans="2:57" ht="15" customHeight="1" thickBot="1">
      <c r="B48" s="510" t="s">
        <v>17</v>
      </c>
      <c r="C48" s="510" t="s">
        <v>44</v>
      </c>
      <c r="D48" s="512" t="s">
        <v>45</v>
      </c>
      <c r="E48" s="467" t="s">
        <v>46</v>
      </c>
      <c r="F48" s="527" t="s">
        <v>47</v>
      </c>
      <c r="G48" s="521" t="s">
        <v>48</v>
      </c>
      <c r="H48" s="510" t="s">
        <v>49</v>
      </c>
      <c r="I48" s="510" t="s">
        <v>50</v>
      </c>
      <c r="J48" s="515" t="s">
        <v>28</v>
      </c>
      <c r="K48" s="465" t="s">
        <v>51</v>
      </c>
      <c r="L48" s="477" t="s">
        <v>52</v>
      </c>
      <c r="M48" s="515" t="s">
        <v>53</v>
      </c>
      <c r="N48" s="77"/>
      <c r="O48" s="13"/>
      <c r="P48" s="50"/>
    </row>
    <row r="49" spans="2:58" ht="28.5" customHeight="1" thickTop="1" thickBot="1">
      <c r="B49" s="511"/>
      <c r="C49" s="511"/>
      <c r="D49" s="513"/>
      <c r="E49" s="514"/>
      <c r="F49" s="528"/>
      <c r="G49" s="522"/>
      <c r="H49" s="511"/>
      <c r="I49" s="511"/>
      <c r="J49" s="516"/>
      <c r="K49" s="525"/>
      <c r="L49" s="526"/>
      <c r="M49" s="516"/>
      <c r="N49" s="77"/>
      <c r="O49" s="13"/>
      <c r="P49" s="50"/>
      <c r="Q49" s="355"/>
      <c r="R49" s="355"/>
      <c r="S49" s="355"/>
      <c r="T49" s="355"/>
      <c r="U49" s="51">
        <v>43466</v>
      </c>
      <c r="V49" s="51">
        <v>43467</v>
      </c>
      <c r="W49" s="51">
        <v>43468</v>
      </c>
      <c r="X49" s="51">
        <v>43469</v>
      </c>
      <c r="Y49" s="51">
        <v>43470</v>
      </c>
      <c r="Z49" s="51">
        <v>43471</v>
      </c>
      <c r="AA49" s="51">
        <v>43472</v>
      </c>
      <c r="AB49" s="51">
        <v>43473</v>
      </c>
      <c r="AC49" s="51">
        <v>43474</v>
      </c>
      <c r="AD49" s="51">
        <v>43475</v>
      </c>
      <c r="AE49" s="51">
        <v>43476</v>
      </c>
      <c r="AF49" s="51">
        <v>43477</v>
      </c>
      <c r="AG49" s="51">
        <v>43478</v>
      </c>
      <c r="AH49" s="51">
        <v>43479</v>
      </c>
      <c r="AI49" s="51">
        <v>43480</v>
      </c>
      <c r="AJ49" s="51">
        <v>43481</v>
      </c>
      <c r="AK49" s="51">
        <v>43482</v>
      </c>
      <c r="AL49" s="51">
        <v>43483</v>
      </c>
      <c r="AM49" s="51">
        <v>43484</v>
      </c>
      <c r="AN49" s="51">
        <v>43485</v>
      </c>
      <c r="AO49" s="51">
        <v>43486</v>
      </c>
      <c r="AP49" s="51">
        <v>43487</v>
      </c>
      <c r="AQ49" s="51">
        <v>43488</v>
      </c>
      <c r="AR49" s="51">
        <v>43489</v>
      </c>
      <c r="AS49" s="51">
        <v>43490</v>
      </c>
      <c r="AT49" s="51">
        <v>43491</v>
      </c>
      <c r="AU49" s="51">
        <v>43492</v>
      </c>
      <c r="AV49" s="51">
        <v>43493</v>
      </c>
      <c r="AW49" s="51">
        <v>43494</v>
      </c>
      <c r="AX49" s="51">
        <v>43495</v>
      </c>
      <c r="AY49" s="51">
        <v>43496</v>
      </c>
    </row>
    <row r="50" spans="2:58" s="54" customFormat="1" ht="56.25" customHeight="1" thickBot="1">
      <c r="B50" s="443" t="str">
        <f>I22</f>
        <v>STAG</v>
      </c>
      <c r="C50" s="283">
        <v>45736</v>
      </c>
      <c r="D50" s="377">
        <f>[31]March_2025!$W$13</f>
        <v>196.39999999999998</v>
      </c>
      <c r="E50" s="378"/>
      <c r="F50" s="379">
        <f>SUM([32]STAG!$L$16:$L$19)</f>
        <v>200</v>
      </c>
      <c r="G50" s="303">
        <f>[31]March_2025!$W$17</f>
        <v>182.6</v>
      </c>
      <c r="H50" s="320">
        <f>(D50-F50)/D50*100</f>
        <v>-1.8329938900203784</v>
      </c>
      <c r="I50" s="322">
        <f>((F50+E50)-G50)/(F50+E50)*100</f>
        <v>8.7000000000000028</v>
      </c>
      <c r="J50" s="390" t="s">
        <v>168</v>
      </c>
      <c r="K50" s="433">
        <f>[33]March_2025!$W$25</f>
        <v>0.91299999999999992</v>
      </c>
      <c r="L50" s="314">
        <f>(((D50+E50)-G50)/(D50+E50))*100</f>
        <v>7.0264765784113976</v>
      </c>
      <c r="M50" s="357" t="s">
        <v>167</v>
      </c>
      <c r="N50" s="13"/>
      <c r="O50" s="13"/>
      <c r="P50" s="50"/>
      <c r="T50" s="272" t="s">
        <v>54</v>
      </c>
      <c r="U50" s="279"/>
      <c r="V50" s="279"/>
      <c r="W50" s="279"/>
      <c r="X50" s="279"/>
      <c r="Y50" s="279"/>
      <c r="Z50" s="279"/>
      <c r="AA50" s="279"/>
      <c r="AB50" s="279"/>
      <c r="AC50" s="279"/>
      <c r="AD50" s="279"/>
      <c r="AE50" s="279"/>
      <c r="AF50" s="279"/>
      <c r="AG50" s="279"/>
      <c r="AH50" s="279"/>
      <c r="AI50" s="279"/>
      <c r="AJ50" s="279"/>
      <c r="AK50" s="279"/>
      <c r="AL50" s="279"/>
      <c r="AM50" s="279"/>
      <c r="AN50" s="279"/>
      <c r="AO50" s="279"/>
      <c r="AP50" s="279"/>
      <c r="AQ50" s="279"/>
      <c r="AR50" s="279"/>
      <c r="AS50" s="279"/>
      <c r="AT50" s="279"/>
      <c r="AU50" s="279"/>
      <c r="AV50" s="279"/>
      <c r="AW50" s="279"/>
      <c r="AX50" s="279"/>
    </row>
    <row r="51" spans="2:58" s="54" customFormat="1" ht="18.75" hidden="1" customHeight="1">
      <c r="B51" s="387"/>
      <c r="C51" s="283"/>
      <c r="D51" s="279"/>
      <c r="E51" s="279"/>
      <c r="F51" s="279"/>
      <c r="G51" s="279"/>
      <c r="H51" s="320"/>
      <c r="I51" s="322"/>
      <c r="J51" s="389"/>
      <c r="K51" s="434"/>
      <c r="L51" s="314"/>
      <c r="M51" s="384"/>
      <c r="N51" s="13"/>
      <c r="O51" s="13"/>
      <c r="P51" s="50"/>
      <c r="T51" s="272" t="s">
        <v>51</v>
      </c>
      <c r="U51" s="57" t="e">
        <f>[20]January_2019!D8</f>
        <v>#DIV/0!</v>
      </c>
      <c r="V51" s="57">
        <f>[20]January_2019!E8</f>
        <v>1.0319298245614037</v>
      </c>
      <c r="W51" s="57">
        <f>[20]January_2019!F8</f>
        <v>1.7789473684210526</v>
      </c>
      <c r="X51" s="57">
        <f>[20]January_2019!G8</f>
        <v>0.51929824561403504</v>
      </c>
      <c r="Y51" s="57" t="e">
        <f>[20]January_2019!H8</f>
        <v>#DIV/0!</v>
      </c>
      <c r="Z51" s="57" t="e">
        <f>[20]January_2019!I8</f>
        <v>#DIV/0!</v>
      </c>
      <c r="AA51" s="57">
        <f>[20]January_2019!J8</f>
        <v>1.365263157894737</v>
      </c>
      <c r="AB51" s="57" t="e">
        <f>[20]January_2019!K8</f>
        <v>#DIV/0!</v>
      </c>
      <c r="AC51" s="57">
        <f>[20]January_2019!L8</f>
        <v>1.0028070175438597</v>
      </c>
      <c r="AD51" s="57">
        <f>[20]January_2019!M8</f>
        <v>1.7828070175438597</v>
      </c>
      <c r="AE51" s="57" t="e">
        <f>[20]January_2019!N8</f>
        <v>#DIV/0!</v>
      </c>
      <c r="AF51" s="57" t="e">
        <f>[20]January_2019!O8</f>
        <v>#DIV/0!</v>
      </c>
      <c r="AG51" s="57">
        <f>[20]January_2019!P8</f>
        <v>0.19222222222222221</v>
      </c>
      <c r="AH51" s="57">
        <f>[20]January_2019!Q8</f>
        <v>0.52219298245614032</v>
      </c>
      <c r="AI51" s="57">
        <f>[20]January_2019!R8</f>
        <v>0.42912280701754385</v>
      </c>
      <c r="AJ51" s="57" t="e">
        <f>[20]January_2019!S8</f>
        <v>#DIV/0!</v>
      </c>
      <c r="AK51" s="57">
        <f>[20]January_2019!T8</f>
        <v>1.0340350877192983</v>
      </c>
      <c r="AL51" s="57">
        <f>[20]January_2019!U8</f>
        <v>0.98421052631578942</v>
      </c>
      <c r="AM51" s="57" t="e">
        <f>[20]January_2019!V8</f>
        <v>#DIV/0!</v>
      </c>
      <c r="AN51" s="57" t="e">
        <f>[20]January_2019!W8</f>
        <v>#DIV/0!</v>
      </c>
      <c r="AO51" s="57">
        <f>[20]January_2019!X8</f>
        <v>0.66052631578947374</v>
      </c>
      <c r="AP51" s="57">
        <f>[20]January_2019!Y8</f>
        <v>1.0375438596491227</v>
      </c>
      <c r="AQ51" s="57">
        <f>[20]January_2019!Z8</f>
        <v>0.90456140350877201</v>
      </c>
      <c r="AR51" s="57">
        <f>[20]January_2019!AA8</f>
        <v>1.0217543859649123</v>
      </c>
      <c r="AS51" s="57">
        <f>[20]January_2019!AB8</f>
        <v>0.65614035087719302</v>
      </c>
      <c r="AT51" s="57" t="e">
        <f>[20]January_2019!AC8</f>
        <v>#DIV/0!</v>
      </c>
      <c r="AU51" s="57" t="e">
        <f>[20]January_2019!AD8</f>
        <v>#DIV/0!</v>
      </c>
      <c r="AV51" s="57">
        <f>[20]January_2019!AE8</f>
        <v>1.7021052631578948</v>
      </c>
      <c r="AW51" s="57">
        <f>[20]January_2019!AF8</f>
        <v>0.60192982456140354</v>
      </c>
      <c r="AX51" s="57">
        <f>[20]January_2019!AG8</f>
        <v>1.4870175438596491</v>
      </c>
      <c r="AY51" s="277" t="e">
        <f>[20]January_2019!AH8</f>
        <v>#DIV/0!</v>
      </c>
      <c r="AZ51" s="277"/>
      <c r="BA51" s="277"/>
      <c r="BB51" s="277"/>
      <c r="BC51" s="277"/>
      <c r="BD51" s="277"/>
      <c r="BE51" s="277"/>
      <c r="BF51" s="277"/>
    </row>
    <row r="52" spans="2:58" ht="11.4" customHeight="1" thickBot="1">
      <c r="B52" s="33"/>
      <c r="C52" s="310"/>
      <c r="D52" s="279"/>
      <c r="E52" s="279"/>
      <c r="F52" s="279"/>
      <c r="G52" s="279"/>
      <c r="H52" s="352"/>
      <c r="I52" s="353"/>
      <c r="J52" s="281"/>
      <c r="K52" s="52"/>
      <c r="L52" s="53"/>
      <c r="M52" s="55"/>
      <c r="N52" s="77"/>
      <c r="O52" s="13"/>
      <c r="P52" s="56"/>
    </row>
    <row r="53" spans="2:58" ht="14.4" thickBot="1">
      <c r="B53" s="58"/>
      <c r="C53" s="309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9"/>
      <c r="O53" s="56"/>
      <c r="P53" s="60"/>
    </row>
    <row r="54" spans="2:58" ht="14.4" thickBot="1">
      <c r="B54" s="517" t="s">
        <v>55</v>
      </c>
      <c r="C54" s="518"/>
      <c r="D54" s="518"/>
      <c r="E54" s="518"/>
      <c r="F54" s="519"/>
      <c r="G54" s="517" t="s">
        <v>56</v>
      </c>
      <c r="H54" s="518"/>
      <c r="I54" s="518"/>
      <c r="J54" s="519"/>
      <c r="K54" s="517" t="s">
        <v>51</v>
      </c>
      <c r="L54" s="518"/>
      <c r="M54" s="518"/>
      <c r="N54" s="520"/>
      <c r="O54" s="56"/>
      <c r="P54" s="50"/>
    </row>
    <row r="55" spans="2:58">
      <c r="B55" s="61" t="s">
        <v>17</v>
      </c>
      <c r="C55" s="62" t="s">
        <v>36</v>
      </c>
      <c r="D55" s="62" t="s">
        <v>37</v>
      </c>
      <c r="E55" s="62" t="s">
        <v>38</v>
      </c>
      <c r="F55" s="63" t="s">
        <v>39</v>
      </c>
      <c r="G55" s="62" t="s">
        <v>36</v>
      </c>
      <c r="H55" s="62" t="s">
        <v>37</v>
      </c>
      <c r="I55" s="62" t="s">
        <v>38</v>
      </c>
      <c r="J55" s="63" t="s">
        <v>39</v>
      </c>
      <c r="K55" s="62" t="s">
        <v>36</v>
      </c>
      <c r="L55" s="62" t="s">
        <v>37</v>
      </c>
      <c r="M55" s="62" t="s">
        <v>38</v>
      </c>
      <c r="N55" s="63" t="s">
        <v>39</v>
      </c>
      <c r="O55" s="56"/>
      <c r="P55" s="64"/>
    </row>
    <row r="56" spans="2:58">
      <c r="B56" s="29" t="s">
        <v>6</v>
      </c>
      <c r="C56" s="65"/>
      <c r="D56" s="76">
        <v>8.0343137254902111</v>
      </c>
      <c r="E56" s="76">
        <v>7.2225614249321044</v>
      </c>
      <c r="F56" s="66">
        <v>4.8</v>
      </c>
      <c r="G56" s="65"/>
      <c r="H56" s="76">
        <v>8.7377634466819689</v>
      </c>
      <c r="I56" s="76">
        <v>7.7275418028860443</v>
      </c>
      <c r="J56" s="66">
        <v>4.8</v>
      </c>
      <c r="K56" s="67"/>
      <c r="L56" s="194">
        <v>0.64532671889145299</v>
      </c>
      <c r="M56" s="194">
        <v>0.79657866349861517</v>
      </c>
      <c r="N56" s="68">
        <v>1</v>
      </c>
      <c r="O56" s="56"/>
      <c r="P56" s="69"/>
    </row>
    <row r="57" spans="2:58">
      <c r="B57" s="33" t="s">
        <v>9</v>
      </c>
      <c r="C57" s="65">
        <f>L50</f>
        <v>7.0264765784113976</v>
      </c>
      <c r="D57" s="76">
        <v>9.73884657236127</v>
      </c>
      <c r="E57" s="76">
        <v>7.4680324642079716</v>
      </c>
      <c r="F57" s="66">
        <v>4.8</v>
      </c>
      <c r="G57" s="65">
        <f>[31]March_2025!$W$21</f>
        <v>8.2868831957694677</v>
      </c>
      <c r="H57" s="76">
        <v>10.879264566455817</v>
      </c>
      <c r="I57" s="76">
        <v>7.8194841177455441</v>
      </c>
      <c r="J57" s="66">
        <v>4.8</v>
      </c>
      <c r="K57" s="67">
        <f>K50</f>
        <v>0.91299999999999992</v>
      </c>
      <c r="L57" s="194">
        <v>0.78156534650638188</v>
      </c>
      <c r="M57" s="194">
        <v>0.72492426607121629</v>
      </c>
      <c r="N57" s="68">
        <v>1</v>
      </c>
      <c r="P57" s="69"/>
    </row>
    <row r="58" spans="2:58">
      <c r="B58" s="34" t="s">
        <v>40</v>
      </c>
      <c r="C58" s="65"/>
      <c r="D58" s="76">
        <v>7.5445173383317687</v>
      </c>
      <c r="E58" s="76">
        <v>12.682396771189062</v>
      </c>
      <c r="F58" s="66">
        <v>5.5</v>
      </c>
      <c r="G58" s="65"/>
      <c r="H58" s="76">
        <v>8.3720217865482667</v>
      </c>
      <c r="I58" s="76">
        <v>14.322773542755614</v>
      </c>
      <c r="J58" s="66">
        <v>5.5</v>
      </c>
      <c r="K58" s="67"/>
      <c r="L58" s="194">
        <v>0.98650000000000004</v>
      </c>
      <c r="M58" s="194">
        <v>0.56862100456621001</v>
      </c>
      <c r="N58" s="68">
        <v>1</v>
      </c>
      <c r="P58" s="69"/>
    </row>
    <row r="59" spans="2:58">
      <c r="B59" s="22" t="s">
        <v>33</v>
      </c>
      <c r="C59" s="65"/>
      <c r="D59" s="76"/>
      <c r="E59" s="76">
        <v>3.9190537266638161</v>
      </c>
      <c r="F59" s="66">
        <v>3.3</v>
      </c>
      <c r="G59" s="65"/>
      <c r="H59" s="76"/>
      <c r="I59" s="76">
        <v>5.345661717473071</v>
      </c>
      <c r="J59" s="66">
        <v>3.3</v>
      </c>
      <c r="K59" s="67"/>
      <c r="L59" s="194"/>
      <c r="M59" s="194">
        <v>0.78853801169590654</v>
      </c>
      <c r="N59" s="68">
        <v>1</v>
      </c>
      <c r="P59" s="69"/>
    </row>
    <row r="60" spans="2:58">
      <c r="B60" s="35" t="s">
        <v>29</v>
      </c>
      <c r="C60" s="65"/>
      <c r="D60" s="76"/>
      <c r="E60" s="76"/>
      <c r="F60" s="66">
        <v>3.3</v>
      </c>
      <c r="G60" s="282"/>
      <c r="H60" s="76"/>
      <c r="I60" s="76"/>
      <c r="J60" s="66">
        <v>3</v>
      </c>
      <c r="K60" s="67"/>
      <c r="L60" s="194"/>
      <c r="M60" s="194"/>
      <c r="N60" s="68">
        <v>1</v>
      </c>
      <c r="P60" s="69"/>
    </row>
    <row r="61" spans="2:58">
      <c r="B61" s="36" t="s">
        <v>15</v>
      </c>
      <c r="C61" s="282"/>
      <c r="D61" s="76"/>
      <c r="E61" s="76">
        <v>8.7664670658682695</v>
      </c>
      <c r="F61" s="70">
        <f>[21]May_2022!$M$43</f>
        <v>3.4878406700073312</v>
      </c>
      <c r="G61" s="282"/>
      <c r="H61" s="76"/>
      <c r="I61" s="76">
        <v>10.607235567685406</v>
      </c>
      <c r="J61" s="66">
        <v>5.5</v>
      </c>
      <c r="K61" s="67"/>
      <c r="L61" s="194"/>
      <c r="M61" s="194">
        <v>0.66824561403508764</v>
      </c>
      <c r="N61" s="68">
        <v>1</v>
      </c>
      <c r="P61" s="69"/>
    </row>
    <row r="62" spans="2:58">
      <c r="B62" s="37" t="s">
        <v>16</v>
      </c>
      <c r="C62" s="65"/>
      <c r="D62" s="76">
        <v>3.0622243998040313</v>
      </c>
      <c r="E62" s="76">
        <v>2.5618217399039276</v>
      </c>
      <c r="F62" s="66">
        <v>3.3</v>
      </c>
      <c r="G62" s="282"/>
      <c r="H62" s="76">
        <v>4.90230047253743</v>
      </c>
      <c r="I62" s="76">
        <v>4.6996399261015078</v>
      </c>
      <c r="J62" s="66">
        <v>3.3</v>
      </c>
      <c r="K62" s="67"/>
      <c r="L62" s="194">
        <v>0.98924999999999996</v>
      </c>
      <c r="M62" s="194">
        <v>0.86251968503937015</v>
      </c>
      <c r="N62" s="71">
        <v>1</v>
      </c>
      <c r="P62" s="69"/>
    </row>
    <row r="63" spans="2:58" ht="14.4" thickBot="1">
      <c r="B63" s="38" t="s">
        <v>127</v>
      </c>
      <c r="C63" s="65"/>
      <c r="D63" s="76"/>
      <c r="E63" s="76"/>
      <c r="F63" s="66">
        <v>7.5</v>
      </c>
      <c r="G63" s="282"/>
      <c r="H63" s="76"/>
      <c r="I63" s="76"/>
      <c r="J63" s="66">
        <v>7.5</v>
      </c>
      <c r="K63" s="67"/>
      <c r="L63" s="194"/>
      <c r="M63" s="194"/>
      <c r="N63" s="71">
        <v>1</v>
      </c>
      <c r="P63" s="69"/>
    </row>
    <row r="64" spans="2:58" ht="14.4" thickBot="1">
      <c r="B64" s="437" t="s">
        <v>165</v>
      </c>
      <c r="C64" s="65"/>
      <c r="D64" s="76"/>
      <c r="E64" s="76">
        <v>4.8792508624938291</v>
      </c>
      <c r="F64" s="66">
        <v>4.8</v>
      </c>
      <c r="G64" s="282"/>
      <c r="H64" s="76"/>
      <c r="I64" s="76">
        <v>6.2003723782925313</v>
      </c>
      <c r="J64" s="66">
        <v>4.8</v>
      </c>
      <c r="K64" s="67"/>
      <c r="L64" s="194"/>
      <c r="M64" s="194">
        <v>0.33859649122807017</v>
      </c>
      <c r="N64" s="71">
        <v>1</v>
      </c>
      <c r="O64" s="74"/>
      <c r="P64" s="75"/>
    </row>
    <row r="65" spans="4:30">
      <c r="D65" s="76">
        <v>7.9667410477101397</v>
      </c>
      <c r="E65" s="76">
        <v>7.2693920017555351</v>
      </c>
      <c r="F65" s="341">
        <v>4.5</v>
      </c>
      <c r="H65" s="76">
        <v>8.7140188517678112</v>
      </c>
      <c r="I65" s="76">
        <v>8.0862924509144811</v>
      </c>
      <c r="J65" s="341">
        <v>4.5</v>
      </c>
      <c r="L65" s="194">
        <v>0.74163726820443243</v>
      </c>
      <c r="M65" s="194">
        <v>0.74953725697193629</v>
      </c>
      <c r="N65" s="386">
        <v>1</v>
      </c>
    </row>
    <row r="69" spans="4:30">
      <c r="F69" s="315"/>
    </row>
    <row r="77" spans="4:30">
      <c r="AD77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D43:E43"/>
    <mergeCell ref="B48:B49"/>
    <mergeCell ref="C48:C49"/>
    <mergeCell ref="D48:D49"/>
    <mergeCell ref="E48:E49"/>
    <mergeCell ref="M48:M49"/>
    <mergeCell ref="B54:F54"/>
    <mergeCell ref="G54:J54"/>
    <mergeCell ref="K54:N54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1260" priority="118" operator="notBetween">
      <formula>#REF!</formula>
      <formula>#REF!</formula>
    </cfRule>
  </conditionalFormatting>
  <conditionalFormatting sqref="C47">
    <cfRule type="cellIs" dxfId="1259" priority="150" stopIfTrue="1" operator="greaterThan">
      <formula>100</formula>
    </cfRule>
    <cfRule type="cellIs" dxfId="1258" priority="149" stopIfTrue="1" operator="lessThan">
      <formula>96</formula>
    </cfRule>
  </conditionalFormatting>
  <conditionalFormatting sqref="C56">
    <cfRule type="cellIs" dxfId="1257" priority="73" stopIfTrue="1" operator="greaterThan">
      <formula>$F56</formula>
    </cfRule>
  </conditionalFormatting>
  <conditionalFormatting sqref="C56:C57">
    <cfRule type="cellIs" dxfId="1256" priority="74" stopIfTrue="1" operator="lessThanOrEqual">
      <formula>0</formula>
    </cfRule>
  </conditionalFormatting>
  <conditionalFormatting sqref="C57">
    <cfRule type="cellIs" dxfId="1255" priority="153" stopIfTrue="1" operator="greaterThan">
      <formula>$F56</formula>
    </cfRule>
  </conditionalFormatting>
  <conditionalFormatting sqref="C58:C60">
    <cfRule type="cellIs" dxfId="1254" priority="98" stopIfTrue="1" operator="greaterThan">
      <formula>$F58</formula>
    </cfRule>
  </conditionalFormatting>
  <conditionalFormatting sqref="C58:C61">
    <cfRule type="cellIs" dxfId="1253" priority="102" stopIfTrue="1" operator="lessThanOrEqual">
      <formula>0</formula>
    </cfRule>
  </conditionalFormatting>
  <conditionalFormatting sqref="C61">
    <cfRule type="cellIs" dxfId="1252" priority="101" stopIfTrue="1" operator="greaterThan">
      <formula>$J61</formula>
    </cfRule>
  </conditionalFormatting>
  <conditionalFormatting sqref="C67:C71">
    <cfRule type="cellIs" dxfId="1251" priority="141" stopIfTrue="1" operator="lessThanOrEqual">
      <formula>0</formula>
    </cfRule>
  </conditionalFormatting>
  <conditionalFormatting sqref="C68:C71">
    <cfRule type="cellIs" dxfId="1250" priority="140" stopIfTrue="1" operator="greaterThan">
      <formula>$F$67</formula>
    </cfRule>
  </conditionalFormatting>
  <conditionalFormatting sqref="C73">
    <cfRule type="cellIs" dxfId="1249" priority="143" stopIfTrue="1" operator="lessThanOrEqual">
      <formula>0</formula>
    </cfRule>
    <cfRule type="cellIs" dxfId="1248" priority="142" stopIfTrue="1" operator="greaterThan">
      <formula>$F$67</formula>
    </cfRule>
  </conditionalFormatting>
  <conditionalFormatting sqref="C67:D67 D69:D75">
    <cfRule type="cellIs" dxfId="1247" priority="135" stopIfTrue="1" operator="greaterThan">
      <formula>4.5</formula>
    </cfRule>
  </conditionalFormatting>
  <conditionalFormatting sqref="D43:D44">
    <cfRule type="cellIs" dxfId="1246" priority="119" operator="notBetween">
      <formula>#REF!</formula>
      <formula>#REF!</formula>
    </cfRule>
  </conditionalFormatting>
  <conditionalFormatting sqref="D56:D63">
    <cfRule type="cellIs" dxfId="1245" priority="112" stopIfTrue="1" operator="lessThanOrEqual">
      <formula>0</formula>
    </cfRule>
  </conditionalFormatting>
  <conditionalFormatting sqref="D64">
    <cfRule type="cellIs" dxfId="1244" priority="111" stopIfTrue="1" operator="lessThanOrEqual">
      <formula>0</formula>
    </cfRule>
  </conditionalFormatting>
  <conditionalFormatting sqref="D67 D69:D75">
    <cfRule type="cellIs" dxfId="1243" priority="136" stopIfTrue="1" operator="lessThanOrEqual">
      <formula>0</formula>
    </cfRule>
  </conditionalFormatting>
  <conditionalFormatting sqref="D68">
    <cfRule type="cellIs" dxfId="1242" priority="128" stopIfTrue="1" operator="lessThanOrEqual">
      <formula>0</formula>
    </cfRule>
    <cfRule type="cellIs" dxfId="1241" priority="127" stopIfTrue="1" operator="greaterThan">
      <formula>$F$67</formula>
    </cfRule>
  </conditionalFormatting>
  <conditionalFormatting sqref="D56:E65">
    <cfRule type="cellIs" dxfId="1240" priority="58" stopIfTrue="1" operator="greaterThan">
      <formula>$F56</formula>
    </cfRule>
  </conditionalFormatting>
  <conditionalFormatting sqref="D65:E65">
    <cfRule type="cellIs" dxfId="1239" priority="59" stopIfTrue="1" operator="lessThanOrEqual">
      <formula>0</formula>
    </cfRule>
  </conditionalFormatting>
  <conditionalFormatting sqref="E10:E18">
    <cfRule type="cellIs" dxfId="1238" priority="49" operator="lessThan">
      <formula>48</formula>
    </cfRule>
  </conditionalFormatting>
  <conditionalFormatting sqref="E47">
    <cfRule type="cellIs" dxfId="1237" priority="130" stopIfTrue="1" operator="greaterThan">
      <formula>100</formula>
    </cfRule>
    <cfRule type="cellIs" dxfId="1236" priority="129" stopIfTrue="1" operator="lessThan">
      <formula>96.8</formula>
    </cfRule>
  </conditionalFormatting>
  <conditionalFormatting sqref="E56:E64">
    <cfRule type="cellIs" dxfId="1235" priority="106" stopIfTrue="1" operator="lessThanOrEqual">
      <formula>0</formula>
    </cfRule>
  </conditionalFormatting>
  <conditionalFormatting sqref="E67:E75">
    <cfRule type="cellIs" dxfId="1234" priority="122" stopIfTrue="1" operator="lessThanOrEqual">
      <formula>0</formula>
    </cfRule>
    <cfRule type="cellIs" dxfId="1233" priority="121" stopIfTrue="1" operator="greaterThan">
      <formula>4.5</formula>
    </cfRule>
  </conditionalFormatting>
  <conditionalFormatting sqref="E46:F47">
    <cfRule type="cellIs" dxfId="1232" priority="132" stopIfTrue="1" operator="greaterThan">
      <formula>100</formula>
    </cfRule>
    <cfRule type="cellIs" dxfId="1231" priority="131" stopIfTrue="1" operator="lessThan">
      <formula>96.5</formula>
    </cfRule>
  </conditionalFormatting>
  <conditionalFormatting sqref="F10:F17">
    <cfRule type="cellIs" dxfId="1230" priority="51" operator="greaterThan">
      <formula>60</formula>
    </cfRule>
  </conditionalFormatting>
  <conditionalFormatting sqref="F18">
    <cfRule type="cellIs" dxfId="1229" priority="308" operator="greaterThan">
      <formula>$AA18</formula>
    </cfRule>
    <cfRule type="cellIs" dxfId="1228" priority="309" operator="greaterThan">
      <formula>$AA53</formula>
    </cfRule>
  </conditionalFormatting>
  <conditionalFormatting sqref="F47">
    <cfRule type="cellIs" dxfId="1227" priority="148" stopIfTrue="1" operator="greaterThan">
      <formula>100</formula>
    </cfRule>
    <cfRule type="cellIs" dxfId="1226" priority="147" stopIfTrue="1" operator="lessThan">
      <formula>96.8</formula>
    </cfRule>
  </conditionalFormatting>
  <conditionalFormatting sqref="F65">
    <cfRule type="cellIs" dxfId="1225" priority="108" stopIfTrue="1" operator="lessThanOrEqual">
      <formula>0</formula>
    </cfRule>
    <cfRule type="cellIs" dxfId="1224" priority="107" stopIfTrue="1" operator="greaterThan">
      <formula>$F65</formula>
    </cfRule>
  </conditionalFormatting>
  <conditionalFormatting sqref="G56:G57 C62:C64">
    <cfRule type="cellIs" dxfId="1223" priority="113" stopIfTrue="1" operator="greaterThan">
      <formula>$F56</formula>
    </cfRule>
    <cfRule type="cellIs" dxfId="1222" priority="114" stopIfTrue="1" operator="lessThanOrEqual">
      <formula>0</formula>
    </cfRule>
  </conditionalFormatting>
  <conditionalFormatting sqref="G56:G57">
    <cfRule type="cellIs" dxfId="1221" priority="80" stopIfTrue="1" operator="lessThanOrEqual">
      <formula>0</formula>
    </cfRule>
    <cfRule type="cellIs" dxfId="1220" priority="79" stopIfTrue="1" operator="greaterThan">
      <formula>$F56</formula>
    </cfRule>
  </conditionalFormatting>
  <conditionalFormatting sqref="G58">
    <cfRule type="cellIs" dxfId="1219" priority="152" stopIfTrue="1" operator="lessThanOrEqual">
      <formula>0</formula>
    </cfRule>
    <cfRule type="cellIs" dxfId="1218" priority="151" stopIfTrue="1" operator="greaterThan">
      <formula>$F57</formula>
    </cfRule>
  </conditionalFormatting>
  <conditionalFormatting sqref="G59">
    <cfRule type="cellIs" dxfId="1217" priority="110" stopIfTrue="1" operator="lessThanOrEqual">
      <formula>0</formula>
    </cfRule>
    <cfRule type="cellIs" dxfId="1216" priority="109" stopIfTrue="1" operator="greaterThan">
      <formula>$F59</formula>
    </cfRule>
  </conditionalFormatting>
  <conditionalFormatting sqref="G60:G64">
    <cfRule type="cellIs" dxfId="1215" priority="116" stopIfTrue="1" operator="lessThanOrEqual">
      <formula>0</formula>
    </cfRule>
    <cfRule type="cellIs" dxfId="1214" priority="115" stopIfTrue="1" operator="greaterThan">
      <formula>$J60</formula>
    </cfRule>
  </conditionalFormatting>
  <conditionalFormatting sqref="G69:G74 C72 C74">
    <cfRule type="cellIs" dxfId="1213" priority="144" stopIfTrue="1" operator="greaterThan">
      <formula>4.5</formula>
    </cfRule>
    <cfRule type="cellIs" dxfId="1212" priority="145" stopIfTrue="1" operator="lessThanOrEqual">
      <formula>0</formula>
    </cfRule>
  </conditionalFormatting>
  <conditionalFormatting sqref="G10:H18">
    <cfRule type="expression" dxfId="1211" priority="42">
      <formula>IF(+(IF(G10&lt;#REF!,0,IF(G10&gt;#REF!,0,1)))=0,1)</formula>
    </cfRule>
  </conditionalFormatting>
  <conditionalFormatting sqref="G68:H68">
    <cfRule type="cellIs" dxfId="1210" priority="125" stopIfTrue="1" operator="greaterThan">
      <formula>$F$67</formula>
    </cfRule>
    <cfRule type="cellIs" dxfId="1209" priority="126" stopIfTrue="1" operator="lessThanOrEqual">
      <formula>0</formula>
    </cfRule>
  </conditionalFormatting>
  <conditionalFormatting sqref="H32:H45 G33:G44">
    <cfRule type="cellIs" dxfId="1208" priority="123" stopIfTrue="1" operator="greaterThan">
      <formula>0</formula>
    </cfRule>
  </conditionalFormatting>
  <conditionalFormatting sqref="H50">
    <cfRule type="cellIs" dxfId="1207" priority="6" stopIfTrue="1" operator="lessThanOrEqual">
      <formula>0</formula>
    </cfRule>
    <cfRule type="cellIs" dxfId="1206" priority="7" stopIfTrue="1" operator="greaterThan">
      <formula>$F$31</formula>
    </cfRule>
    <cfRule type="cellIs" dxfId="1205" priority="17" stopIfTrue="1" operator="greaterThan">
      <formula>$F$32</formula>
    </cfRule>
    <cfRule type="cellIs" dxfId="1204" priority="18" stopIfTrue="1" operator="lessThanOrEqual">
      <formula>0</formula>
    </cfRule>
    <cfRule type="cellIs" dxfId="1203" priority="15" stopIfTrue="1" operator="greaterThan">
      <formula>$F$34</formula>
    </cfRule>
    <cfRule type="cellIs" dxfId="1202" priority="16" stopIfTrue="1" operator="lessThanOrEqual">
      <formula>0</formula>
    </cfRule>
  </conditionalFormatting>
  <conditionalFormatting sqref="H51">
    <cfRule type="cellIs" dxfId="1201" priority="97" stopIfTrue="1" operator="lessThanOrEqual">
      <formula>0</formula>
    </cfRule>
    <cfRule type="cellIs" dxfId="1200" priority="95" stopIfTrue="1" operator="lessThanOrEqual">
      <formula>0</formula>
    </cfRule>
    <cfRule type="cellIs" dxfId="1199" priority="96" stopIfTrue="1" operator="greaterThan">
      <formula>$F$56</formula>
    </cfRule>
    <cfRule type="cellIs" dxfId="1198" priority="94" stopIfTrue="1" operator="greaterThan">
      <formula>$F$58</formula>
    </cfRule>
    <cfRule type="cellIs" dxfId="1197" priority="85" stopIfTrue="1" operator="lessThanOrEqual">
      <formula>0</formula>
    </cfRule>
    <cfRule type="cellIs" dxfId="1196" priority="86" stopIfTrue="1" operator="greaterThan">
      <formula>$F$55</formula>
    </cfRule>
  </conditionalFormatting>
  <conditionalFormatting sqref="H52">
    <cfRule type="cellIs" dxfId="1195" priority="159" stopIfTrue="1" operator="lessThanOrEqual">
      <formula>0</formula>
    </cfRule>
    <cfRule type="cellIs" dxfId="1194" priority="158" stopIfTrue="1" operator="greaterThan">
      <formula>#REF!</formula>
    </cfRule>
    <cfRule type="cellIs" dxfId="1193" priority="157" stopIfTrue="1" operator="lessThanOrEqual">
      <formula>0</formula>
    </cfRule>
    <cfRule type="cellIs" dxfId="1192" priority="156" stopIfTrue="1" operator="greaterThan">
      <formula>$F$53</formula>
    </cfRule>
  </conditionalFormatting>
  <conditionalFormatting sqref="H56:H63">
    <cfRule type="cellIs" dxfId="1191" priority="100" stopIfTrue="1" operator="lessThanOrEqual">
      <formula>0</formula>
    </cfRule>
    <cfRule type="cellIs" dxfId="1190" priority="99" stopIfTrue="1" operator="greaterThan">
      <formula>$J56</formula>
    </cfRule>
  </conditionalFormatting>
  <conditionalFormatting sqref="H64">
    <cfRule type="cellIs" dxfId="1189" priority="103" operator="greaterThan">
      <formula>5.3</formula>
    </cfRule>
  </conditionalFormatting>
  <conditionalFormatting sqref="H67 H69:H75">
    <cfRule type="cellIs" dxfId="1188" priority="138" stopIfTrue="1" operator="lessThanOrEqual">
      <formula>0</formula>
    </cfRule>
    <cfRule type="cellIs" dxfId="1187" priority="137" stopIfTrue="1" operator="greaterThan">
      <formula>4.5</formula>
    </cfRule>
  </conditionalFormatting>
  <conditionalFormatting sqref="H50:I50">
    <cfRule type="cellIs" dxfId="1186" priority="8" stopIfTrue="1" operator="lessThanOrEqual">
      <formula>0</formula>
    </cfRule>
    <cfRule type="cellIs" dxfId="1185" priority="5" stopIfTrue="1" operator="greaterThan">
      <formula>$F$33</formula>
    </cfRule>
  </conditionalFormatting>
  <conditionalFormatting sqref="H51:I51">
    <cfRule type="cellIs" dxfId="1184" priority="84" stopIfTrue="1" operator="greaterThan">
      <formula>$F$57</formula>
    </cfRule>
    <cfRule type="cellIs" dxfId="1183" priority="87" stopIfTrue="1" operator="lessThanOrEqual">
      <formula>0</formula>
    </cfRule>
  </conditionalFormatting>
  <conditionalFormatting sqref="H65:I65">
    <cfRule type="cellIs" dxfId="1182" priority="57" stopIfTrue="1" operator="lessThanOrEqual">
      <formula>0</formula>
    </cfRule>
    <cfRule type="cellIs" dxfId="1181" priority="56" stopIfTrue="1" operator="greaterThan">
      <formula>$J65</formula>
    </cfRule>
  </conditionalFormatting>
  <conditionalFormatting sqref="I18">
    <cfRule type="cellIs" dxfId="1180" priority="78" operator="lessThan">
      <formula>98</formula>
    </cfRule>
    <cfRule type="cellIs" dxfId="1179" priority="75" operator="lessThan">
      <formula>97.8</formula>
    </cfRule>
  </conditionalFormatting>
  <conditionalFormatting sqref="I50">
    <cfRule type="cellIs" dxfId="1178" priority="9" stopIfTrue="1" operator="greaterThan">
      <formula>$F$31</formula>
    </cfRule>
    <cfRule type="cellIs" dxfId="1177" priority="10" stopIfTrue="1" operator="lessThanOrEqual">
      <formula>0</formula>
    </cfRule>
    <cfRule type="cellIs" dxfId="1176" priority="11" stopIfTrue="1" operator="greaterThan">
      <formula>$F$33</formula>
    </cfRule>
    <cfRule type="cellIs" dxfId="1175" priority="12" stopIfTrue="1" operator="lessThanOrEqual">
      <formula>0</formula>
    </cfRule>
    <cfRule type="cellIs" dxfId="1174" priority="13" stopIfTrue="1" operator="greaterThan">
      <formula>$F$31</formula>
    </cfRule>
    <cfRule type="cellIs" dxfId="1173" priority="14" stopIfTrue="1" operator="lessThanOrEqual">
      <formula>0</formula>
    </cfRule>
  </conditionalFormatting>
  <conditionalFormatting sqref="I51">
    <cfRule type="cellIs" dxfId="1172" priority="89" stopIfTrue="1" operator="lessThanOrEqual">
      <formula>0</formula>
    </cfRule>
    <cfRule type="cellIs" dxfId="1171" priority="92" stopIfTrue="1" operator="greaterThan">
      <formula>$F$55</formula>
    </cfRule>
    <cfRule type="cellIs" dxfId="1170" priority="91" stopIfTrue="1" operator="lessThanOrEqual">
      <formula>0</formula>
    </cfRule>
    <cfRule type="cellIs" dxfId="1169" priority="88" stopIfTrue="1" operator="greaterThan">
      <formula>$F$55</formula>
    </cfRule>
    <cfRule type="cellIs" dxfId="1168" priority="90" stopIfTrue="1" operator="greaterThan">
      <formula>$F$57</formula>
    </cfRule>
    <cfRule type="cellIs" dxfId="1167" priority="93" stopIfTrue="1" operator="lessThanOrEqual">
      <formula>0</formula>
    </cfRule>
  </conditionalFormatting>
  <conditionalFormatting sqref="I56:I64">
    <cfRule type="cellIs" dxfId="1166" priority="105" stopIfTrue="1" operator="lessThanOrEqual">
      <formula>0</formula>
    </cfRule>
    <cfRule type="cellIs" dxfId="1165" priority="104" stopIfTrue="1" operator="greaterThan">
      <formula>$J56</formula>
    </cfRule>
  </conditionalFormatting>
  <conditionalFormatting sqref="I67:I75">
    <cfRule type="cellIs" dxfId="1164" priority="133" stopIfTrue="1" operator="greaterThan">
      <formula>4.5</formula>
    </cfRule>
    <cfRule type="cellIs" dxfId="1163" priority="134" stopIfTrue="1" operator="lessThanOrEqual">
      <formula>0</formula>
    </cfRule>
  </conditionalFormatting>
  <conditionalFormatting sqref="I10:J17">
    <cfRule type="cellIs" dxfId="1162" priority="52" operator="lessThan">
      <formula>97.9</formula>
    </cfRule>
  </conditionalFormatting>
  <conditionalFormatting sqref="J18">
    <cfRule type="cellIs" dxfId="1161" priority="77" operator="lessThan">
      <formula>97.4</formula>
    </cfRule>
    <cfRule type="cellIs" dxfId="1160" priority="76" operator="notBetween">
      <formula>98</formula>
      <formula>99.9</formula>
    </cfRule>
  </conditionalFormatting>
  <conditionalFormatting sqref="J21:J23">
    <cfRule type="cellIs" dxfId="1159" priority="37" operator="lessThan">
      <formula>98</formula>
    </cfRule>
    <cfRule type="cellIs" dxfId="1158" priority="36" stopIfTrue="1" operator="greaterThan">
      <formula>100</formula>
    </cfRule>
    <cfRule type="cellIs" dxfId="1157" priority="35" stopIfTrue="1" operator="lessThan">
      <formula>96.8</formula>
    </cfRule>
  </conditionalFormatting>
  <conditionalFormatting sqref="J21:J25">
    <cfRule type="cellIs" dxfId="1156" priority="34" operator="lessThan">
      <formula>97.4</formula>
    </cfRule>
  </conditionalFormatting>
  <conditionalFormatting sqref="J26">
    <cfRule type="cellIs" dxfId="1155" priority="38" operator="lessThan">
      <formula>98</formula>
    </cfRule>
  </conditionalFormatting>
  <conditionalFormatting sqref="J27:J29">
    <cfRule type="cellIs" dxfId="1154" priority="40" stopIfTrue="1" operator="greaterThan">
      <formula>100</formula>
    </cfRule>
    <cfRule type="cellIs" dxfId="1153" priority="39" stopIfTrue="1" operator="lessThan">
      <formula>96.8</formula>
    </cfRule>
  </conditionalFormatting>
  <conditionalFormatting sqref="J27:J30">
    <cfRule type="cellIs" dxfId="1152" priority="41" operator="lessThan">
      <formula>98</formula>
    </cfRule>
  </conditionalFormatting>
  <conditionalFormatting sqref="J65">
    <cfRule type="cellIs" dxfId="1151" priority="54" stopIfTrue="1" operator="lessThanOrEqual">
      <formula>0</formula>
    </cfRule>
    <cfRule type="cellIs" dxfId="1150" priority="53" stopIfTrue="1" operator="greaterThan">
      <formula>$F65</formula>
    </cfRule>
  </conditionalFormatting>
  <conditionalFormatting sqref="K10:K18">
    <cfRule type="cellIs" dxfId="1149" priority="45" operator="greaterThan">
      <formula>6</formula>
    </cfRule>
    <cfRule type="cellIs" dxfId="1148" priority="50" operator="greaterThan">
      <formula>6.4</formula>
    </cfRule>
    <cfRule type="cellIs" dxfId="1147" priority="46" operator="lessThan">
      <formula>4</formula>
    </cfRule>
  </conditionalFormatting>
  <conditionalFormatting sqref="K35:K44">
    <cfRule type="cellIs" dxfId="1146" priority="33" operator="notEqual">
      <formula>#REF!</formula>
    </cfRule>
  </conditionalFormatting>
  <conditionalFormatting sqref="K50:K52 K56:N64">
    <cfRule type="cellIs" dxfId="1145" priority="117" stopIfTrue="1" operator="lessThan">
      <formula>100%</formula>
    </cfRule>
  </conditionalFormatting>
  <conditionalFormatting sqref="K67:K72">
    <cfRule type="cellIs" dxfId="1144" priority="139" stopIfTrue="1" operator="lessThan">
      <formula>100%</formula>
    </cfRule>
  </conditionalFormatting>
  <conditionalFormatting sqref="K74:K75">
    <cfRule type="cellIs" dxfId="1143" priority="146" stopIfTrue="1" operator="lessThan">
      <formula>100%</formula>
    </cfRule>
  </conditionalFormatting>
  <conditionalFormatting sqref="L10:L18">
    <cfRule type="cellIs" dxfId="1142" priority="47" operator="between">
      <formula>61</formula>
      <formula>65</formula>
    </cfRule>
    <cfRule type="cellIs" dxfId="1141" priority="48" operator="greaterThan">
      <formula>65</formula>
    </cfRule>
  </conditionalFormatting>
  <conditionalFormatting sqref="L21:M32">
    <cfRule type="cellIs" dxfId="1140" priority="60" operator="lessThan">
      <formula>98</formula>
    </cfRule>
  </conditionalFormatting>
  <conditionalFormatting sqref="L36:N36">
    <cfRule type="cellIs" dxfId="1139" priority="81" operator="notEqual">
      <formula>#REF!</formula>
    </cfRule>
  </conditionalFormatting>
  <conditionalFormatting sqref="L65:N65">
    <cfRule type="cellIs" dxfId="1138" priority="55" stopIfTrue="1" operator="lessThan">
      <formula>100%</formula>
    </cfRule>
  </conditionalFormatting>
  <conditionalFormatting sqref="L67:N75">
    <cfRule type="cellIs" dxfId="1137" priority="124" stopIfTrue="1" operator="lessThan">
      <formula>100%</formula>
    </cfRule>
  </conditionalFormatting>
  <conditionalFormatting sqref="M10:M18">
    <cfRule type="expression" dxfId="1136" priority="43">
      <formula>IF(+(IF(M10&lt;V10,0,IF(M10&gt;W10,0,1)))=0,1)</formula>
    </cfRule>
  </conditionalFormatting>
  <conditionalFormatting sqref="M6:N6">
    <cfRule type="cellIs" dxfId="1135" priority="83" operator="greaterThanOrEqual">
      <formula>19</formula>
    </cfRule>
    <cfRule type="cellIs" dxfId="1134" priority="82" operator="greaterThanOrEqual">
      <formula>15</formula>
    </cfRule>
  </conditionalFormatting>
  <conditionalFormatting sqref="N10:N18">
    <cfRule type="expression" dxfId="1133" priority="44">
      <formula>IF(+(IF(N10&lt;X10,0,IF(N10&gt;Y10,0,1)))=0,1)</formula>
    </cfRule>
  </conditionalFormatting>
  <conditionalFormatting sqref="N18">
    <cfRule type="expression" dxfId="1132" priority="154">
      <formula>IF(+(IF(N18&lt;X58,0,IF(N18&gt;Y58,0,1)))=0,1)</formula>
    </cfRule>
    <cfRule type="expression" dxfId="1131" priority="155">
      <formula>IF(+(IF(N18&lt;X53,0,IF(N18&gt;Y53,0,1)))=0,1)</formula>
    </cfRule>
  </conditionalFormatting>
  <conditionalFormatting sqref="P6">
    <cfRule type="cellIs" dxfId="1130" priority="120" operator="greaterThanOrEqual">
      <formula>19</formula>
    </cfRule>
  </conditionalFormatting>
  <dataValidations count="1">
    <dataValidation type="list" allowBlank="1" showInputMessage="1" showErrorMessage="1" sqref="S8 B18" xr:uid="{A1747427-B8B9-47EF-91CA-93EFE601A38D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69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A630-CCED-4271-8AD3-1F9766919E34}">
  <sheetPr>
    <pageSetUpPr fitToPage="1"/>
  </sheetPr>
  <dimension ref="A1:BF81"/>
  <sheetViews>
    <sheetView topLeftCell="A27" zoomScale="80" zoomScaleNormal="80" workbookViewId="0">
      <selection activeCell="H54" sqref="H54:I54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45737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4.4">
      <c r="B10" s="29" t="s">
        <v>6</v>
      </c>
      <c r="C10" s="366" t="str">
        <f>[23]Brewhouse!$A311</f>
        <v>CA208</v>
      </c>
      <c r="D10" s="279">
        <f>[23]Brewhouse!$AF311</f>
        <v>53.2</v>
      </c>
      <c r="E10" s="279">
        <f>[23]Brewhouse!$AI311</f>
        <v>49.9</v>
      </c>
      <c r="F10" s="278">
        <f>[23]Brewhouse!$V311</f>
        <v>56</v>
      </c>
      <c r="G10" s="279">
        <f>[23]Brewhouse!$AG311</f>
        <v>11.8</v>
      </c>
      <c r="H10" s="396">
        <v>11.8</v>
      </c>
      <c r="I10" s="368">
        <f>[23]Brewhouse!$AU311</f>
        <v>97.107689466916568</v>
      </c>
      <c r="J10" s="368">
        <f>[23]Brewhouse!$AV311</f>
        <v>98.308862643447043</v>
      </c>
      <c r="K10" s="281">
        <f>[23]Brewhouse!$Q311</f>
        <v>6.4527629233511536</v>
      </c>
      <c r="L10" s="276">
        <f>[23]Brewhouse!$P311</f>
        <v>59</v>
      </c>
      <c r="M10" s="397">
        <f>[23]Brewhouse!$U311-[23]Brewhouse!$T311</f>
        <v>0.10694444444444429</v>
      </c>
      <c r="N10" s="370">
        <f>[23]Brewhouse!$Z311</f>
        <v>0.24583333333333335</v>
      </c>
      <c r="O10" s="371" t="str">
        <f>[23]Brewhouse!$AX311</f>
        <v>K.Benjamin</v>
      </c>
      <c r="P10" s="441"/>
      <c r="Q10" s="447"/>
      <c r="R10" s="48"/>
      <c r="S10" s="277" t="str">
        <f t="shared" ref="S10" si="0">B10</f>
        <v>CARIB</v>
      </c>
      <c r="T10" s="296">
        <f t="shared" ref="T10:T20" si="1">VLOOKUP($B10,$S$3:$Y$9,2,FALSE)</f>
        <v>11.6</v>
      </c>
      <c r="U10" s="296">
        <f t="shared" ref="U10:U20" si="2">VLOOKUP($B10,$S$3:$Y$9,3,FALSE)</f>
        <v>12</v>
      </c>
      <c r="V10" s="297">
        <f t="shared" ref="V10:V20" si="3">VLOOKUP($B10,$S$3:$Y$9,4,FALSE)</f>
        <v>0</v>
      </c>
      <c r="W10" s="297">
        <f t="shared" ref="W10:W20" si="4">VLOOKUP($B10,$S$3:$Y$9,5,FALSE)</f>
        <v>0.118055555555556</v>
      </c>
      <c r="X10" s="297">
        <f t="shared" ref="X10:X20" si="5">VLOOKUP($B10,$S$3:$Y$9,6,FALSE)</f>
        <v>0.22569444444444445</v>
      </c>
      <c r="Y10" s="297">
        <f t="shared" ref="Y10:Y20" si="6">VLOOKUP($B10,$S$3:$Y$9,7,FALSE)</f>
        <v>0.2638888888888889</v>
      </c>
      <c r="Z10" s="297">
        <f t="shared" ref="Z10:Z20" si="7">VLOOKUP($B10,$S$3:$AA$9,8,FALSE)</f>
        <v>0</v>
      </c>
      <c r="AA10" s="296">
        <f t="shared" ref="AA10:AA20" si="8">VLOOKUP($B10,$S$3:$AA$9,9,FALSE)</f>
        <v>60</v>
      </c>
      <c r="AB10" s="19"/>
    </row>
    <row r="11" spans="2:30" ht="15.75" customHeight="1">
      <c r="B11" s="29" t="s">
        <v>6</v>
      </c>
      <c r="C11" s="366" t="str">
        <f>[23]Brewhouse!$A312</f>
        <v>CA209</v>
      </c>
      <c r="D11" s="279">
        <f>[23]Brewhouse!$AF312</f>
        <v>53.9</v>
      </c>
      <c r="E11" s="279">
        <f>[23]Brewhouse!$AI312</f>
        <v>49.5</v>
      </c>
      <c r="F11" s="278">
        <f>[23]Brewhouse!$V312</f>
        <v>58</v>
      </c>
      <c r="G11" s="279">
        <f>[23]Brewhouse!$AG312</f>
        <v>11.8</v>
      </c>
      <c r="H11" s="396">
        <v>11.8</v>
      </c>
      <c r="I11" s="368">
        <f>[23]Brewhouse!$AU312</f>
        <v>95.640781997288045</v>
      </c>
      <c r="J11" s="368">
        <f>[23]Brewhouse!$AV312</f>
        <v>96.775330582742143</v>
      </c>
      <c r="K11" s="281">
        <f>[23]Brewhouse!$Q312</f>
        <v>5.3736654804270509</v>
      </c>
      <c r="L11" s="276">
        <f>[23]Brewhouse!$P312</f>
        <v>60</v>
      </c>
      <c r="M11" s="397">
        <f>[23]Brewhouse!$U312-[23]Brewhouse!$T312</f>
        <v>0.12152777777777773</v>
      </c>
      <c r="N11" s="370">
        <f>[23]Brewhouse!$Z312</f>
        <v>0.26249999999999996</v>
      </c>
      <c r="O11" s="371" t="str">
        <f>[23]Brewhouse!$AX312</f>
        <v>R.Regis</v>
      </c>
      <c r="P11" s="441" t="s">
        <v>199</v>
      </c>
      <c r="Q11" s="347"/>
      <c r="S11" s="277" t="str">
        <f t="shared" ref="S11:S20" si="9">B11</f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[23]Brewhouse!$A313</f>
        <v>CA210</v>
      </c>
      <c r="D12" s="279">
        <f>[23]Brewhouse!$AF313</f>
        <v>54.7</v>
      </c>
      <c r="E12" s="279">
        <f>[23]Brewhouse!$AI313</f>
        <v>51.2</v>
      </c>
      <c r="F12" s="278">
        <f>[23]Brewhouse!$V313</f>
        <v>59</v>
      </c>
      <c r="G12" s="279">
        <f>[23]Brewhouse!$AG313</f>
        <v>11.8</v>
      </c>
      <c r="H12" s="396">
        <v>11.9</v>
      </c>
      <c r="I12" s="368">
        <f>[23]Brewhouse!$AU313</f>
        <v>98.925414914366613</v>
      </c>
      <c r="J12" s="368">
        <f>[23]Brewhouse!$AV313</f>
        <v>100.09892779467468</v>
      </c>
      <c r="K12" s="281">
        <f>[23]Brewhouse!$Q313</f>
        <v>5.2982456140350802</v>
      </c>
      <c r="L12" s="276">
        <f>[23]Brewhouse!$P313</f>
        <v>60</v>
      </c>
      <c r="M12" s="397">
        <f>[23]Brewhouse!$U313-[23]Brewhouse!$T313</f>
        <v>0.11041666666666666</v>
      </c>
      <c r="N12" s="370">
        <f>[23]Brewhouse!$Z313</f>
        <v>0.25763888888888892</v>
      </c>
      <c r="O12" s="371" t="str">
        <f>[23]Brewhouse!$AX313</f>
        <v>R.Regis</v>
      </c>
      <c r="P12" s="441"/>
      <c r="Q12" s="347"/>
      <c r="S12" s="277" t="str">
        <f t="shared" si="9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[23]Brewhouse!$A314</f>
        <v>CA211</v>
      </c>
      <c r="D13" s="279">
        <f>[23]Brewhouse!$AF314</f>
        <v>54.3</v>
      </c>
      <c r="E13" s="279">
        <f>[23]Brewhouse!$AI314</f>
        <v>51.7</v>
      </c>
      <c r="F13" s="278">
        <f>[23]Brewhouse!$V314</f>
        <v>63</v>
      </c>
      <c r="G13" s="279">
        <f>[23]Brewhouse!$AG314</f>
        <v>11.89</v>
      </c>
      <c r="H13" s="396">
        <v>11.9</v>
      </c>
      <c r="I13" s="368">
        <f>[23]Brewhouse!$AU314</f>
        <v>100.41166904509818</v>
      </c>
      <c r="J13" s="368">
        <f>[23]Brewhouse!$AV314</f>
        <v>101.60320100729683</v>
      </c>
      <c r="K13" s="281">
        <f>[23]Brewhouse!$Q314</f>
        <v>3.6594202898550781</v>
      </c>
      <c r="L13" s="276">
        <f>[23]Brewhouse!$P314</f>
        <v>61</v>
      </c>
      <c r="M13" s="397">
        <f>[23]Brewhouse!$U314-[23]Brewhouse!$T314</f>
        <v>0.12013888888888891</v>
      </c>
      <c r="N13" s="370">
        <f>[23]Brewhouse!$Z314</f>
        <v>0.2638888888888889</v>
      </c>
      <c r="O13" s="371" t="str">
        <f>[23]Brewhouse!$AX314</f>
        <v>R.Regis</v>
      </c>
      <c r="P13" s="441"/>
      <c r="Q13" s="347"/>
      <c r="S13" s="277" t="str">
        <f t="shared" si="9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[23]Brewhouse!$A315</f>
        <v>CA212</v>
      </c>
      <c r="D14" s="279">
        <f>[23]Brewhouse!$AF315</f>
        <v>54.5</v>
      </c>
      <c r="E14" s="279">
        <f>[23]Brewhouse!$AI315</f>
        <v>50.6</v>
      </c>
      <c r="F14" s="278">
        <f>[23]Brewhouse!$V315</f>
        <v>63</v>
      </c>
      <c r="G14" s="279">
        <f>[23]Brewhouse!$AG315</f>
        <v>12</v>
      </c>
      <c r="H14" s="396">
        <v>11.8</v>
      </c>
      <c r="I14" s="368">
        <f>[23]Brewhouse!$AU315</f>
        <v>100.10153958094506</v>
      </c>
      <c r="J14" s="368">
        <f>[23]Brewhouse!$AV315</f>
        <v>101.33981279497223</v>
      </c>
      <c r="K14" s="281">
        <f>[23]Brewhouse!$Q315</f>
        <v>4.1354723707664887</v>
      </c>
      <c r="L14" s="276">
        <f>[23]Brewhouse!$P315</f>
        <v>57</v>
      </c>
      <c r="M14" s="397">
        <f>[23]Brewhouse!$U315-[23]Brewhouse!$T315</f>
        <v>0.10555555555555562</v>
      </c>
      <c r="N14" s="370">
        <f>[23]Brewhouse!$Z315</f>
        <v>0.25</v>
      </c>
      <c r="O14" s="371" t="str">
        <f>[23]Brewhouse!$AX315</f>
        <v>R.Sookram</v>
      </c>
      <c r="P14" s="441"/>
      <c r="Q14" s="347"/>
      <c r="S14" s="277" t="str">
        <f t="shared" si="9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[23]Brewhouse!$A316</f>
        <v>CA213</v>
      </c>
      <c r="D15" s="279">
        <f>[23]Brewhouse!$AF316</f>
        <v>55</v>
      </c>
      <c r="E15" s="279">
        <f>[23]Brewhouse!$AI316</f>
        <v>51.5</v>
      </c>
      <c r="F15" s="278">
        <f>[23]Brewhouse!$V316</f>
        <v>60</v>
      </c>
      <c r="G15" s="279">
        <f>[23]Brewhouse!$AG316</f>
        <v>11.99</v>
      </c>
      <c r="H15" s="396">
        <v>11.8</v>
      </c>
      <c r="I15" s="368">
        <f>[23]Brewhouse!$AU316</f>
        <v>102.1345698780635</v>
      </c>
      <c r="J15" s="368">
        <f>[23]Brewhouse!$AV316</f>
        <v>103.39785386695823</v>
      </c>
      <c r="K15" s="281">
        <f>[23]Brewhouse!$Q316</f>
        <v>3.5879218472468848</v>
      </c>
      <c r="L15" s="276">
        <f>[23]Brewhouse!$P316</f>
        <v>57</v>
      </c>
      <c r="M15" s="397">
        <f>[23]Brewhouse!$U316-[23]Brewhouse!$T316</f>
        <v>0.10347222222222219</v>
      </c>
      <c r="N15" s="370">
        <f>[23]Brewhouse!$Z316</f>
        <v>0.24166666666666659</v>
      </c>
      <c r="O15" s="371" t="str">
        <f>[23]Brewhouse!$AX316</f>
        <v>R.Sookram</v>
      </c>
      <c r="P15" s="441"/>
      <c r="Q15" s="347"/>
      <c r="S15" s="277" t="str">
        <f t="shared" si="9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 t="s">
        <v>6</v>
      </c>
      <c r="C16" s="366" t="str">
        <f>[23]Brewhouse!$A317</f>
        <v>CA214</v>
      </c>
      <c r="D16" s="279">
        <f>[23]Brewhouse!$AF317</f>
        <v>55.6</v>
      </c>
      <c r="E16" s="279">
        <f>[23]Brewhouse!$AI317</f>
        <v>52.2</v>
      </c>
      <c r="F16" s="278">
        <f>[23]Brewhouse!$V317</f>
        <v>57</v>
      </c>
      <c r="G16" s="279">
        <f>[23]Brewhouse!$AG317</f>
        <v>11.91</v>
      </c>
      <c r="H16" s="396">
        <v>11.9</v>
      </c>
      <c r="I16" s="368">
        <f>[23]Brewhouse!$AU317</f>
        <v>102.61615796495992</v>
      </c>
      <c r="J16" s="368">
        <f>[23]Brewhouse!$AV317</f>
        <v>103.88539862964177</v>
      </c>
      <c r="K16" s="281">
        <f>[23]Brewhouse!$Q317</f>
        <v>3.2098765432098766</v>
      </c>
      <c r="L16" s="276">
        <f>[23]Brewhouse!$P317</f>
        <v>58</v>
      </c>
      <c r="M16" s="397">
        <f>[23]Brewhouse!$U317-[23]Brewhouse!$T317</f>
        <v>0.10277777777777775</v>
      </c>
      <c r="N16" s="370">
        <f>[23]Brewhouse!$Z317</f>
        <v>0.24444444444444435</v>
      </c>
      <c r="O16" s="371" t="str">
        <f>[23]Brewhouse!$AX317</f>
        <v>R.Sookram</v>
      </c>
      <c r="P16" s="441"/>
      <c r="Q16" s="347"/>
      <c r="S16" s="277" t="str">
        <f t="shared" si="9"/>
        <v>CARIB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29" t="s">
        <v>6</v>
      </c>
      <c r="C17" s="366" t="str">
        <f>[23]Brewhouse!$A318</f>
        <v>CA215</v>
      </c>
      <c r="D17" s="279">
        <f>[23]Brewhouse!$AF318</f>
        <v>55.6</v>
      </c>
      <c r="E17" s="279">
        <f>[23]Brewhouse!$AI318</f>
        <v>52.4</v>
      </c>
      <c r="F17" s="278">
        <f>[23]Brewhouse!$V318</f>
        <v>60</v>
      </c>
      <c r="G17" s="279">
        <f>[23]Brewhouse!$AG318</f>
        <v>11.95</v>
      </c>
      <c r="H17" s="396">
        <v>11.9</v>
      </c>
      <c r="I17" s="368">
        <f>[23]Brewhouse!$AU318</f>
        <v>103.66246391386404</v>
      </c>
      <c r="J17" s="368">
        <f>[23]Brewhouse!$AV318</f>
        <v>104.94478637265901</v>
      </c>
      <c r="K17" s="281">
        <f>[23]Brewhouse!$Q318</f>
        <v>3.5500878734622079</v>
      </c>
      <c r="L17" s="276">
        <f>[23]Brewhouse!$P318</f>
        <v>61</v>
      </c>
      <c r="M17" s="397">
        <f>[23]Brewhouse!$U318-[23]Brewhouse!$T318</f>
        <v>0.1166666666666667</v>
      </c>
      <c r="N17" s="370">
        <f>[23]Brewhouse!$Z318</f>
        <v>0.26944444444444449</v>
      </c>
      <c r="O17" s="371" t="str">
        <f>[23]Brewhouse!$AX318</f>
        <v>K.Benjamin</v>
      </c>
      <c r="P17" s="441" t="s">
        <v>198</v>
      </c>
      <c r="Q17" s="347"/>
      <c r="S17" s="277" t="str">
        <f t="shared" si="9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1"/>
      <c r="Q19" s="347"/>
      <c r="S19" s="277">
        <f t="shared" si="9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9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ref="S21:S24" si="10">B21</f>
        <v>0</v>
      </c>
      <c r="T21" s="296" t="e">
        <f t="shared" ref="T21:T24" si="11">VLOOKUP($B21,$S$3:$Y$9,2,FALSE)</f>
        <v>#N/A</v>
      </c>
      <c r="U21" s="296" t="e">
        <f t="shared" ref="U21:U24" si="12">VLOOKUP($B21,$S$3:$Y$9,3,FALSE)</f>
        <v>#N/A</v>
      </c>
      <c r="V21" s="297" t="e">
        <f t="shared" ref="V21:V24" si="13">VLOOKUP($B21,$S$3:$Y$9,4,FALSE)</f>
        <v>#N/A</v>
      </c>
      <c r="W21" s="297" t="e">
        <f t="shared" ref="W21:W24" si="14">VLOOKUP($B21,$S$3:$Y$9,5,FALSE)</f>
        <v>#N/A</v>
      </c>
      <c r="X21" s="297" t="e">
        <f t="shared" ref="X21:X24" si="15">VLOOKUP($B21,$S$3:$Y$9,6,FALSE)</f>
        <v>#N/A</v>
      </c>
      <c r="Y21" s="297" t="e">
        <f t="shared" ref="Y21:Y24" si="16">VLOOKUP($B21,$S$3:$Y$9,7,FALSE)</f>
        <v>#N/A</v>
      </c>
      <c r="Z21" s="297" t="e">
        <f t="shared" ref="Z21:Z24" si="17">VLOOKUP($B21,$S$3:$AA$9,8,FALSE)</f>
        <v>#N/A</v>
      </c>
      <c r="AA21" s="296" t="e">
        <f t="shared" ref="AA21:AA24" si="18">VLOOKUP($B21,$S$3:$AA$9,9,FALSE)</f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10"/>
        <v>0</v>
      </c>
      <c r="T22" s="296" t="e">
        <f t="shared" si="11"/>
        <v>#N/A</v>
      </c>
      <c r="U22" s="296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7" t="e">
        <f t="shared" si="17"/>
        <v>#N/A</v>
      </c>
      <c r="AA22" s="296" t="e">
        <f t="shared" si="1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10"/>
        <v>0</v>
      </c>
      <c r="T23" s="296" t="e">
        <f t="shared" si="11"/>
        <v>#N/A</v>
      </c>
      <c r="U23" s="296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7" t="e">
        <f t="shared" si="17"/>
        <v>#N/A</v>
      </c>
      <c r="AA23" s="296" t="e">
        <f t="shared" si="18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10"/>
        <v>BRAND</v>
      </c>
      <c r="T24" s="296" t="e">
        <f t="shared" si="11"/>
        <v>#N/A</v>
      </c>
      <c r="U24" s="296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7" t="e">
        <f t="shared" si="17"/>
        <v>#N/A</v>
      </c>
      <c r="AA24" s="296" t="e">
        <f t="shared" si="18"/>
        <v>#N/A</v>
      </c>
    </row>
    <row r="25" spans="1:27" ht="15" customHeight="1">
      <c r="A25" s="28"/>
      <c r="B25" s="536" t="str">
        <f>I27</f>
        <v>GUINNESS</v>
      </c>
      <c r="C25" s="362" cm="1">
        <f t="array" ref="C25:C32">[25]Process!$D$36:$D$43</f>
        <v>17.899999999999999</v>
      </c>
      <c r="D25" s="485">
        <v>17.12</v>
      </c>
      <c r="E25" s="486"/>
      <c r="F25" s="294"/>
      <c r="G25" s="294"/>
      <c r="H25" s="348"/>
      <c r="I25" s="29" t="s">
        <v>6</v>
      </c>
      <c r="J25" s="280">
        <f>AVERAGE(I10:I17)</f>
        <v>100.07503584518774</v>
      </c>
      <c r="K25" s="284">
        <f>COUNTA([23]Brewhouse!$A$255:$A$318)</f>
        <v>64</v>
      </c>
      <c r="L25" s="302">
        <f>AVERAGE([23]Brewhouse!$AU$255:$AU318)</f>
        <v>99.021177993600475</v>
      </c>
      <c r="M25" s="302">
        <f>AVERAGE([23]Brewhouse!$AU$102:$AU$171,[23]Brewhouse!$AU$173:$AU$253,[23]Brewhouse!$AU$255:$AU$318)</f>
        <v>96.62335369682738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7"/>
      <c r="C26" s="349">
        <v>17.5</v>
      </c>
      <c r="D26" s="487"/>
      <c r="E26" s="488"/>
      <c r="F26" s="294"/>
      <c r="G26" s="294"/>
      <c r="H26" s="348"/>
      <c r="I26" s="33" t="s">
        <v>9</v>
      </c>
      <c r="J26" s="280"/>
      <c r="K26" s="284">
        <f>COUNTA([24]Brewhouse!$A$105:$A$128)</f>
        <v>24</v>
      </c>
      <c r="L26" s="302">
        <f>AVERAGE([24]Brewhouse!$AS$105:$AS$128)</f>
        <v>98.709474475329685</v>
      </c>
      <c r="M26" s="302">
        <f>AVERAGE([24]Brewhouse!$AS$15:$AS$64,[24]Brewhouse!$AS$66:$AS$103,[24]Brewhouse!$AS$105:$AS$128)</f>
        <v>96.492521063456024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7"/>
      <c r="C27" s="349">
        <v>17.5</v>
      </c>
      <c r="D27" s="485">
        <v>17.23</v>
      </c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7"/>
      <c r="C28" s="349">
        <v>17.600000000000001</v>
      </c>
      <c r="D28" s="487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AVERAGE([26]Brewhouse!$AV$5:$AV$14,[26]Brewhouse!$AV$16:$AV$19)</f>
        <v>98.230957815544443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7"/>
      <c r="C29" s="349">
        <v>17.2</v>
      </c>
      <c r="D29" s="485">
        <v>17.23</v>
      </c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7"/>
      <c r="C30" s="349">
        <v>17.3</v>
      </c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7"/>
      <c r="C31" s="349">
        <v>17.3</v>
      </c>
      <c r="D31" s="485">
        <v>17.190000000000001</v>
      </c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7"/>
      <c r="C32" s="349">
        <v>17.399999999999999</v>
      </c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7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7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7"/>
      <c r="C35" s="349"/>
      <c r="D35" s="485"/>
      <c r="E35" s="486"/>
      <c r="F35" s="294"/>
      <c r="G35" s="294"/>
      <c r="H35" s="348"/>
      <c r="I35" s="1"/>
      <c r="J35" s="39"/>
      <c r="K35" s="408">
        <f>SUM(K25:K34)</f>
        <v>104</v>
      </c>
      <c r="L35" s="409">
        <f>((L25*K25)+(L26*K26)+(L27*K27)+(L28*K28)+(L29*K29)+(K32*L32)+(L30*K30)+(L31*K31)+(L34*K34))/(K35)</f>
        <v>98.812096797953174</v>
      </c>
      <c r="M35" s="409">
        <f>AVERAGE('[29]Jan 31st'!$L$65,'[30]Feb 28th'!$L$35,L35)</f>
        <v>96.751691075117392</v>
      </c>
      <c r="N35" s="40">
        <v>98</v>
      </c>
      <c r="O35" s="11"/>
      <c r="P35" s="31"/>
      <c r="S35" s="23"/>
    </row>
    <row r="36" spans="1:57" ht="15" thickBot="1">
      <c r="B36" s="538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32"/>
      <c r="C37" s="362"/>
      <c r="D37" s="498"/>
      <c r="E37" s="499"/>
      <c r="F37" s="43"/>
      <c r="G37" s="41"/>
      <c r="H37" s="41"/>
      <c r="I37" s="42"/>
      <c r="J37" s="501" t="s">
        <v>129</v>
      </c>
      <c r="K37" s="501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33"/>
      <c r="C38" s="349"/>
      <c r="D38" s="500"/>
      <c r="E38" s="488"/>
      <c r="F38" s="43"/>
      <c r="G38" s="41"/>
      <c r="H38" s="41"/>
      <c r="I38" s="42"/>
      <c r="J38" s="418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533"/>
      <c r="C39" s="349"/>
      <c r="D39" s="504"/>
      <c r="E39" s="486"/>
      <c r="F39" s="43"/>
      <c r="G39" s="41"/>
      <c r="H39" s="41"/>
      <c r="I39" s="42"/>
      <c r="J39" s="419" t="s">
        <v>6</v>
      </c>
      <c r="K39" s="324">
        <f>COUNTA(B10:B17)</f>
        <v>8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33"/>
      <c r="C40" s="349"/>
      <c r="D40" s="500"/>
      <c r="E40" s="488"/>
      <c r="F40" s="43"/>
      <c r="G40" s="41"/>
      <c r="H40" s="41"/>
      <c r="I40" s="42"/>
      <c r="J40" s="420" t="s">
        <v>9</v>
      </c>
      <c r="K40" s="324"/>
      <c r="L40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20th'!K49)</f>
        <v>6.4375</v>
      </c>
      <c r="M40" s="325">
        <f>AVERAGE('[29]Jan 29th '!$M$70,'[30]Feb 28th'!$L$40,L40)</f>
        <v>6.6494963369963367</v>
      </c>
      <c r="N40" s="400">
        <v>10</v>
      </c>
      <c r="O40" s="294"/>
      <c r="P40" s="12"/>
      <c r="S40" s="23"/>
    </row>
    <row r="41" spans="1:57" ht="15" customHeight="1">
      <c r="B41" s="533"/>
      <c r="C41" s="349"/>
      <c r="D41" s="504"/>
      <c r="E41" s="486"/>
      <c r="F41" s="43"/>
      <c r="G41" s="41"/>
      <c r="H41" s="41"/>
      <c r="I41" s="42"/>
      <c r="J41" s="421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533"/>
      <c r="C42" s="349"/>
      <c r="D42" s="500"/>
      <c r="E42" s="488"/>
      <c r="F42" s="43"/>
      <c r="G42" s="41"/>
      <c r="H42" s="41"/>
      <c r="I42" s="42"/>
      <c r="J42" s="422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533"/>
      <c r="C43" s="349"/>
      <c r="D43" s="504"/>
      <c r="E43" s="486"/>
      <c r="F43" s="43"/>
      <c r="G43" s="41"/>
      <c r="H43" s="41"/>
      <c r="I43" s="42"/>
      <c r="J43" s="423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33"/>
      <c r="C44" s="349"/>
      <c r="D44" s="500"/>
      <c r="E44" s="488"/>
      <c r="F44" s="43"/>
      <c r="G44" s="41"/>
      <c r="H44" s="41"/>
      <c r="I44" s="42"/>
      <c r="J44" s="424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33"/>
      <c r="C45" s="349"/>
      <c r="D45" s="505"/>
      <c r="E45" s="490"/>
      <c r="F45" s="43"/>
      <c r="G45" s="41"/>
      <c r="H45" s="41"/>
      <c r="I45" s="42"/>
      <c r="J45" s="424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34"/>
      <c r="C46" s="350"/>
      <c r="D46" s="506"/>
      <c r="E46" s="507"/>
      <c r="F46" s="43"/>
      <c r="G46" s="41"/>
      <c r="H46" s="41"/>
      <c r="I46" s="42"/>
      <c r="J46" s="424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17.192499999999999</v>
      </c>
      <c r="E47" s="509"/>
      <c r="F47" s="43"/>
      <c r="G47" s="41"/>
      <c r="H47" s="41"/>
      <c r="I47" s="42"/>
      <c r="J47" s="42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42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42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 thickBot="1">
      <c r="B54" s="439" t="str">
        <f>I27</f>
        <v>GUINNESS</v>
      </c>
      <c r="C54" s="283">
        <v>45736</v>
      </c>
      <c r="D54" s="377">
        <f>[31]March_2025!$W$23</f>
        <v>426.30000000000007</v>
      </c>
      <c r="E54" s="378">
        <f>[32]GUINNESS!$S$28</f>
        <v>9.6999999999999993</v>
      </c>
      <c r="F54" s="379">
        <f>SUM([32]GUINNESS!$L$28:$L$35)</f>
        <v>406</v>
      </c>
      <c r="G54" s="303">
        <f>[31]March_2025!$W$28</f>
        <v>384.6</v>
      </c>
      <c r="H54" s="320">
        <f>(D54-F54)/D54*100</f>
        <v>4.761904761904777</v>
      </c>
      <c r="I54" s="322">
        <f>((F54+E54)-G54)/(F54+E54)*100</f>
        <v>7.4813567476545506</v>
      </c>
      <c r="J54" s="390" t="s">
        <v>196</v>
      </c>
      <c r="K54" s="433">
        <f>[33]March_2025!$W$32</f>
        <v>0.32050000000000006</v>
      </c>
      <c r="L54" s="314">
        <f>(((D54+E54)-G54)/(D54+E54))*100</f>
        <v>11.78899082568808</v>
      </c>
      <c r="M54" s="357" t="s">
        <v>200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1.2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4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ht="58.5" hidden="1" customHeight="1" thickBot="1">
      <c r="B56" s="430"/>
      <c r="C56" s="283"/>
      <c r="D56" s="279"/>
      <c r="E56" s="279"/>
      <c r="F56" s="279"/>
      <c r="G56" s="279"/>
      <c r="H56" s="320"/>
      <c r="I56" s="322"/>
      <c r="J56" s="390"/>
      <c r="K56" s="52"/>
      <c r="L56" s="53"/>
      <c r="M56" s="55"/>
      <c r="N56" s="77"/>
      <c r="O56" s="13"/>
      <c r="P56" s="56"/>
    </row>
    <row r="57" spans="2:58" ht="18" customHeight="1" thickBot="1">
      <c r="B57" s="58"/>
      <c r="C57" s="309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56"/>
      <c r="P57" s="60"/>
    </row>
    <row r="58" spans="2:58" ht="14.4" thickBot="1">
      <c r="B58" s="517" t="s">
        <v>55</v>
      </c>
      <c r="C58" s="518"/>
      <c r="D58" s="518"/>
      <c r="E58" s="518"/>
      <c r="F58" s="519"/>
      <c r="G58" s="517" t="s">
        <v>56</v>
      </c>
      <c r="H58" s="518"/>
      <c r="I58" s="518"/>
      <c r="J58" s="519"/>
      <c r="K58" s="517" t="s">
        <v>51</v>
      </c>
      <c r="L58" s="518"/>
      <c r="M58" s="518"/>
      <c r="N58" s="520"/>
      <c r="O58" s="56"/>
      <c r="P58" s="50"/>
    </row>
    <row r="59" spans="2:58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8">
      <c r="B60" s="29" t="s">
        <v>6</v>
      </c>
      <c r="C60" s="65"/>
      <c r="D60" s="76">
        <v>8.0343137254902111</v>
      </c>
      <c r="E60" s="76">
        <v>7.2225614249321044</v>
      </c>
      <c r="F60" s="66">
        <v>4.8</v>
      </c>
      <c r="G60" s="65"/>
      <c r="H60" s="76">
        <v>8.7377634466819689</v>
      </c>
      <c r="I60" s="76">
        <v>7.7275418028860443</v>
      </c>
      <c r="J60" s="66">
        <v>4.8</v>
      </c>
      <c r="K60" s="67"/>
      <c r="L60" s="194">
        <v>0.64532671889145299</v>
      </c>
      <c r="M60" s="194">
        <v>0.79657866349861517</v>
      </c>
      <c r="N60" s="68">
        <v>1</v>
      </c>
      <c r="O60" s="56"/>
      <c r="P60" s="69"/>
    </row>
    <row r="61" spans="2:58">
      <c r="B61" s="33" t="s">
        <v>9</v>
      </c>
      <c r="C61" s="65"/>
      <c r="D61" s="76">
        <v>9.73884657236127</v>
      </c>
      <c r="E61" s="76">
        <v>7.4680324642079716</v>
      </c>
      <c r="F61" s="66">
        <v>4.8</v>
      </c>
      <c r="G61" s="65"/>
      <c r="H61" s="76">
        <v>10.879264566455817</v>
      </c>
      <c r="I61" s="76">
        <v>7.8194841177455441</v>
      </c>
      <c r="J61" s="66">
        <v>4.8</v>
      </c>
      <c r="K61" s="67"/>
      <c r="L61" s="194">
        <v>0.78156534650638188</v>
      </c>
      <c r="M61" s="194">
        <v>0.72492426607121629</v>
      </c>
      <c r="N61" s="68">
        <v>1</v>
      </c>
      <c r="P61" s="69"/>
    </row>
    <row r="62" spans="2:58">
      <c r="B62" s="34" t="s">
        <v>40</v>
      </c>
      <c r="C62" s="65">
        <f>L54</f>
        <v>11.78899082568808</v>
      </c>
      <c r="D62" s="76">
        <v>10.435585654917661</v>
      </c>
      <c r="E62" s="76">
        <v>12.471734214646009</v>
      </c>
      <c r="F62" s="66">
        <v>5.5</v>
      </c>
      <c r="G62" s="65">
        <f>[31]March_2025!$W$32</f>
        <v>14.770304158859599</v>
      </c>
      <c r="H62" s="76">
        <v>12.668687929841122</v>
      </c>
      <c r="I62" s="76">
        <v>14.436247754556394</v>
      </c>
      <c r="J62" s="66">
        <v>5.5</v>
      </c>
      <c r="K62" s="67">
        <f>K54</f>
        <v>0.32050000000000006</v>
      </c>
      <c r="L62" s="194">
        <v>0.54249999999999998</v>
      </c>
      <c r="M62" s="194">
        <v>0.52401498127340829</v>
      </c>
      <c r="N62" s="68">
        <v>1</v>
      </c>
      <c r="P62" s="69"/>
    </row>
    <row r="63" spans="2:58">
      <c r="B63" s="22" t="s">
        <v>33</v>
      </c>
      <c r="C63" s="65"/>
      <c r="D63" s="76"/>
      <c r="E63" s="76">
        <v>3.9190537266638161</v>
      </c>
      <c r="F63" s="66">
        <v>3.3</v>
      </c>
      <c r="G63" s="65"/>
      <c r="H63" s="76"/>
      <c r="I63" s="76">
        <v>5.345661717473071</v>
      </c>
      <c r="J63" s="66">
        <v>3.3</v>
      </c>
      <c r="K63" s="67"/>
      <c r="L63" s="194"/>
      <c r="M63" s="194">
        <v>0.78853801169590654</v>
      </c>
      <c r="N63" s="68">
        <v>1</v>
      </c>
      <c r="P63" s="69"/>
    </row>
    <row r="64" spans="2:58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8.7664670658682695</v>
      </c>
      <c r="F65" s="70">
        <f>[21]May_2022!$M$43</f>
        <v>3.4878406700073312</v>
      </c>
      <c r="G65" s="282"/>
      <c r="H65" s="76"/>
      <c r="I65" s="76">
        <v>10.607235567685406</v>
      </c>
      <c r="J65" s="66">
        <v>5.5</v>
      </c>
      <c r="K65" s="67"/>
      <c r="L65" s="194"/>
      <c r="M65" s="194">
        <v>0.66824561403508764</v>
      </c>
      <c r="N65" s="68">
        <v>1</v>
      </c>
      <c r="P65" s="69"/>
    </row>
    <row r="66" spans="2:16">
      <c r="B66" s="37" t="s">
        <v>16</v>
      </c>
      <c r="C66" s="65"/>
      <c r="D66" s="76">
        <v>3.0622243998040313</v>
      </c>
      <c r="E66" s="76">
        <v>2.5618217399039276</v>
      </c>
      <c r="F66" s="66">
        <v>3.3</v>
      </c>
      <c r="G66" s="282"/>
      <c r="H66" s="76">
        <v>4.90230047253743</v>
      </c>
      <c r="I66" s="76">
        <v>4.6996399261015078</v>
      </c>
      <c r="J66" s="66">
        <v>3.3</v>
      </c>
      <c r="K66" s="67"/>
      <c r="L66" s="194">
        <v>0.98924999999999996</v>
      </c>
      <c r="M66" s="194">
        <v>0.86251968503937015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37" t="s">
        <v>165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8.3700335658342837</v>
      </c>
      <c r="E69" s="76">
        <v>7.3769869536634429</v>
      </c>
      <c r="F69" s="341">
        <v>4.5</v>
      </c>
      <c r="H69" s="76">
        <v>9.5655445562758814</v>
      </c>
      <c r="I69" s="76">
        <v>8.3051354975923619</v>
      </c>
      <c r="J69" s="341">
        <v>4.5</v>
      </c>
      <c r="L69" s="194">
        <v>0.70039983680130558</v>
      </c>
      <c r="M69" s="194">
        <v>0.74066597742741458</v>
      </c>
      <c r="N69" s="386">
        <v>1</v>
      </c>
    </row>
    <row r="73" spans="2:16">
      <c r="F73" s="315"/>
    </row>
    <row r="81" spans="30:30">
      <c r="AD81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D47:E47"/>
    <mergeCell ref="B52:B53"/>
    <mergeCell ref="C52:C53"/>
    <mergeCell ref="D52:D53"/>
    <mergeCell ref="E52:E53"/>
    <mergeCell ref="M52:M53"/>
    <mergeCell ref="B58:F58"/>
    <mergeCell ref="G58:J58"/>
    <mergeCell ref="K58:N58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1129" priority="103" operator="notBetween">
      <formula>#REF!</formula>
      <formula>#REF!</formula>
    </cfRule>
  </conditionalFormatting>
  <conditionalFormatting sqref="C51">
    <cfRule type="cellIs" dxfId="1128" priority="135" stopIfTrue="1" operator="greaterThan">
      <formula>100</formula>
    </cfRule>
    <cfRule type="cellIs" dxfId="1127" priority="134" stopIfTrue="1" operator="lessThan">
      <formula>96</formula>
    </cfRule>
  </conditionalFormatting>
  <conditionalFormatting sqref="C60">
    <cfRule type="cellIs" dxfId="1126" priority="58" stopIfTrue="1" operator="greaterThan">
      <formula>$F60</formula>
    </cfRule>
  </conditionalFormatting>
  <conditionalFormatting sqref="C60:C61">
    <cfRule type="cellIs" dxfId="1125" priority="59" stopIfTrue="1" operator="lessThanOrEqual">
      <formula>0</formula>
    </cfRule>
  </conditionalFormatting>
  <conditionalFormatting sqref="C61">
    <cfRule type="cellIs" dxfId="1124" priority="138" stopIfTrue="1" operator="greaterThan">
      <formula>$F60</formula>
    </cfRule>
  </conditionalFormatting>
  <conditionalFormatting sqref="C62:C64">
    <cfRule type="cellIs" dxfId="1123" priority="83" stopIfTrue="1" operator="greaterThan">
      <formula>$F62</formula>
    </cfRule>
  </conditionalFormatting>
  <conditionalFormatting sqref="C62:C65">
    <cfRule type="cellIs" dxfId="1122" priority="87" stopIfTrue="1" operator="lessThanOrEqual">
      <formula>0</formula>
    </cfRule>
  </conditionalFormatting>
  <conditionalFormatting sqref="C65">
    <cfRule type="cellIs" dxfId="1121" priority="86" stopIfTrue="1" operator="greaterThan">
      <formula>$J65</formula>
    </cfRule>
  </conditionalFormatting>
  <conditionalFormatting sqref="C71:C75">
    <cfRule type="cellIs" dxfId="1120" priority="126" stopIfTrue="1" operator="lessThanOrEqual">
      <formula>0</formula>
    </cfRule>
  </conditionalFormatting>
  <conditionalFormatting sqref="C72:C75">
    <cfRule type="cellIs" dxfId="1119" priority="125" stopIfTrue="1" operator="greaterThan">
      <formula>$F$71</formula>
    </cfRule>
  </conditionalFormatting>
  <conditionalFormatting sqref="C77">
    <cfRule type="cellIs" dxfId="1118" priority="127" stopIfTrue="1" operator="greaterThan">
      <formula>$F$71</formula>
    </cfRule>
    <cfRule type="cellIs" dxfId="1117" priority="128" stopIfTrue="1" operator="lessThanOrEqual">
      <formula>0</formula>
    </cfRule>
  </conditionalFormatting>
  <conditionalFormatting sqref="C71:D71 D73:D79">
    <cfRule type="cellIs" dxfId="1116" priority="120" stopIfTrue="1" operator="greaterThan">
      <formula>4.5</formula>
    </cfRule>
  </conditionalFormatting>
  <conditionalFormatting sqref="D47:D48">
    <cfRule type="cellIs" dxfId="1115" priority="104" operator="notBetween">
      <formula>#REF!</formula>
      <formula>#REF!</formula>
    </cfRule>
  </conditionalFormatting>
  <conditionalFormatting sqref="D60:D67">
    <cfRule type="cellIs" dxfId="1114" priority="97" stopIfTrue="1" operator="lessThanOrEqual">
      <formula>0</formula>
    </cfRule>
  </conditionalFormatting>
  <conditionalFormatting sqref="D68">
    <cfRule type="cellIs" dxfId="1113" priority="96" stopIfTrue="1" operator="lessThanOrEqual">
      <formula>0</formula>
    </cfRule>
  </conditionalFormatting>
  <conditionalFormatting sqref="D71 D73:D79">
    <cfRule type="cellIs" dxfId="1112" priority="121" stopIfTrue="1" operator="lessThanOrEqual">
      <formula>0</formula>
    </cfRule>
  </conditionalFormatting>
  <conditionalFormatting sqref="D72">
    <cfRule type="cellIs" dxfId="1111" priority="112" stopIfTrue="1" operator="greaterThan">
      <formula>$F$71</formula>
    </cfRule>
    <cfRule type="cellIs" dxfId="1110" priority="113" stopIfTrue="1" operator="lessThanOrEqual">
      <formula>0</formula>
    </cfRule>
  </conditionalFormatting>
  <conditionalFormatting sqref="D60:E69">
    <cfRule type="cellIs" dxfId="1109" priority="55" stopIfTrue="1" operator="greaterThan">
      <formula>$F60</formula>
    </cfRule>
  </conditionalFormatting>
  <conditionalFormatting sqref="D69:E69">
    <cfRule type="cellIs" dxfId="1108" priority="56" stopIfTrue="1" operator="lessThanOrEqual">
      <formula>0</formula>
    </cfRule>
  </conditionalFormatting>
  <conditionalFormatting sqref="E10:E22">
    <cfRule type="cellIs" dxfId="1107" priority="46" operator="lessThan">
      <formula>48</formula>
    </cfRule>
  </conditionalFormatting>
  <conditionalFormatting sqref="E51">
    <cfRule type="cellIs" dxfId="1106" priority="114" stopIfTrue="1" operator="lessThan">
      <formula>96.8</formula>
    </cfRule>
    <cfRule type="cellIs" dxfId="1105" priority="115" stopIfTrue="1" operator="greaterThan">
      <formula>100</formula>
    </cfRule>
  </conditionalFormatting>
  <conditionalFormatting sqref="E60:E68">
    <cfRule type="cellIs" dxfId="1104" priority="91" stopIfTrue="1" operator="lessThanOrEqual">
      <formula>0</formula>
    </cfRule>
  </conditionalFormatting>
  <conditionalFormatting sqref="E71:E79">
    <cfRule type="cellIs" dxfId="1103" priority="107" stopIfTrue="1" operator="lessThanOrEqual">
      <formula>0</formula>
    </cfRule>
    <cfRule type="cellIs" dxfId="1102" priority="106" stopIfTrue="1" operator="greaterThan">
      <formula>4.5</formula>
    </cfRule>
  </conditionalFormatting>
  <conditionalFormatting sqref="E50:F51">
    <cfRule type="cellIs" dxfId="1101" priority="116" stopIfTrue="1" operator="lessThan">
      <formula>96.5</formula>
    </cfRule>
    <cfRule type="cellIs" dxfId="1100" priority="117" stopIfTrue="1" operator="greaterThan">
      <formula>100</formula>
    </cfRule>
  </conditionalFormatting>
  <conditionalFormatting sqref="F10:F21">
    <cfRule type="cellIs" dxfId="1099" priority="48" operator="greaterThan">
      <formula>60</formula>
    </cfRule>
  </conditionalFormatting>
  <conditionalFormatting sqref="F22">
    <cfRule type="cellIs" dxfId="1098" priority="146" operator="greaterThan">
      <formula>$AA57</formula>
    </cfRule>
    <cfRule type="cellIs" dxfId="1097" priority="145" operator="greaterThan">
      <formula>$AA22</formula>
    </cfRule>
  </conditionalFormatting>
  <conditionalFormatting sqref="F51">
    <cfRule type="cellIs" dxfId="1096" priority="132" stopIfTrue="1" operator="lessThan">
      <formula>96.8</formula>
    </cfRule>
    <cfRule type="cellIs" dxfId="1095" priority="133" stopIfTrue="1" operator="greaterThan">
      <formula>100</formula>
    </cfRule>
  </conditionalFormatting>
  <conditionalFormatting sqref="F69">
    <cfRule type="cellIs" dxfId="1094" priority="92" stopIfTrue="1" operator="greaterThan">
      <formula>$F69</formula>
    </cfRule>
    <cfRule type="cellIs" dxfId="1093" priority="93" stopIfTrue="1" operator="lessThanOrEqual">
      <formula>0</formula>
    </cfRule>
  </conditionalFormatting>
  <conditionalFormatting sqref="G60:G61 C66:C68">
    <cfRule type="cellIs" dxfId="1092" priority="98" stopIfTrue="1" operator="greaterThan">
      <formula>$F60</formula>
    </cfRule>
    <cfRule type="cellIs" dxfId="1091" priority="99" stopIfTrue="1" operator="lessThanOrEqual">
      <formula>0</formula>
    </cfRule>
  </conditionalFormatting>
  <conditionalFormatting sqref="G60:G61">
    <cfRule type="cellIs" dxfId="1090" priority="65" stopIfTrue="1" operator="lessThanOrEqual">
      <formula>0</formula>
    </cfRule>
    <cfRule type="cellIs" dxfId="1089" priority="64" stopIfTrue="1" operator="greaterThan">
      <formula>$F60</formula>
    </cfRule>
  </conditionalFormatting>
  <conditionalFormatting sqref="G62">
    <cfRule type="cellIs" dxfId="1088" priority="136" stopIfTrue="1" operator="greaterThan">
      <formula>$F61</formula>
    </cfRule>
    <cfRule type="cellIs" dxfId="1087" priority="137" stopIfTrue="1" operator="lessThanOrEqual">
      <formula>0</formula>
    </cfRule>
  </conditionalFormatting>
  <conditionalFormatting sqref="G63">
    <cfRule type="cellIs" dxfId="1086" priority="94" stopIfTrue="1" operator="greaterThan">
      <formula>$F63</formula>
    </cfRule>
    <cfRule type="cellIs" dxfId="1085" priority="95" stopIfTrue="1" operator="lessThanOrEqual">
      <formula>0</formula>
    </cfRule>
  </conditionalFormatting>
  <conditionalFormatting sqref="G64:G68">
    <cfRule type="cellIs" dxfId="1084" priority="101" stopIfTrue="1" operator="lessThanOrEqual">
      <formula>0</formula>
    </cfRule>
    <cfRule type="cellIs" dxfId="1083" priority="100" stopIfTrue="1" operator="greaterThan">
      <formula>$J64</formula>
    </cfRule>
  </conditionalFormatting>
  <conditionalFormatting sqref="G73:G78 C76 C78">
    <cfRule type="cellIs" dxfId="1082" priority="130" stopIfTrue="1" operator="lessThanOrEqual">
      <formula>0</formula>
    </cfRule>
    <cfRule type="cellIs" dxfId="1081" priority="129" stopIfTrue="1" operator="greaterThan">
      <formula>4.5</formula>
    </cfRule>
  </conditionalFormatting>
  <conditionalFormatting sqref="G10:H22">
    <cfRule type="expression" dxfId="1080" priority="1">
      <formula>IF(+(IF(G10&lt;#REF!,0,IF(G10&gt;#REF!,0,1)))=0,1)</formula>
    </cfRule>
  </conditionalFormatting>
  <conditionalFormatting sqref="G72:H72">
    <cfRule type="cellIs" dxfId="1079" priority="111" stopIfTrue="1" operator="lessThanOrEqual">
      <formula>0</formula>
    </cfRule>
    <cfRule type="cellIs" dxfId="1078" priority="110" stopIfTrue="1" operator="greaterThan">
      <formula>$F$71</formula>
    </cfRule>
  </conditionalFormatting>
  <conditionalFormatting sqref="H36:H49 G37:G48">
    <cfRule type="cellIs" dxfId="1077" priority="108" stopIfTrue="1" operator="greaterThan">
      <formula>0</formula>
    </cfRule>
  </conditionalFormatting>
  <conditionalFormatting sqref="H54">
    <cfRule type="cellIs" dxfId="1076" priority="17" stopIfTrue="1" operator="lessThanOrEqual">
      <formula>0</formula>
    </cfRule>
    <cfRule type="cellIs" dxfId="1075" priority="26" stopIfTrue="1" operator="greaterThan">
      <formula>$F$38</formula>
    </cfRule>
    <cfRule type="cellIs" dxfId="1074" priority="27" stopIfTrue="1" operator="lessThanOrEqual">
      <formula>0</formula>
    </cfRule>
    <cfRule type="cellIs" dxfId="1073" priority="28" stopIfTrue="1" operator="greaterThan">
      <formula>$F$36</formula>
    </cfRule>
    <cfRule type="cellIs" dxfId="1072" priority="29" stopIfTrue="1" operator="lessThanOrEqual">
      <formula>0</formula>
    </cfRule>
    <cfRule type="cellIs" dxfId="1071" priority="18" stopIfTrue="1" operator="greaterThan">
      <formula>$F$35</formula>
    </cfRule>
  </conditionalFormatting>
  <conditionalFormatting sqref="H55">
    <cfRule type="cellIs" dxfId="1070" priority="81" stopIfTrue="1" operator="greaterThan">
      <formula>$F$60</formula>
    </cfRule>
    <cfRule type="cellIs" dxfId="1069" priority="70" stopIfTrue="1" operator="lessThanOrEqual">
      <formula>0</formula>
    </cfRule>
    <cfRule type="cellIs" dxfId="1068" priority="79" stopIfTrue="1" operator="greaterThan">
      <formula>$F$62</formula>
    </cfRule>
    <cfRule type="cellIs" dxfId="1067" priority="80" stopIfTrue="1" operator="lessThanOrEqual">
      <formula>0</formula>
    </cfRule>
    <cfRule type="cellIs" dxfId="1066" priority="82" stopIfTrue="1" operator="lessThanOrEqual">
      <formula>0</formula>
    </cfRule>
    <cfRule type="cellIs" dxfId="1065" priority="71" stopIfTrue="1" operator="greaterThan">
      <formula>$F$59</formula>
    </cfRule>
  </conditionalFormatting>
  <conditionalFormatting sqref="H56">
    <cfRule type="cellIs" dxfId="1064" priority="3" stopIfTrue="1" operator="lessThanOrEqual">
      <formula>0</formula>
    </cfRule>
    <cfRule type="cellIs" dxfId="1063" priority="4" stopIfTrue="1" operator="greaterThan">
      <formula>$F$35</formula>
    </cfRule>
    <cfRule type="cellIs" dxfId="1062" priority="15" stopIfTrue="1" operator="lessThanOrEqual">
      <formula>0</formula>
    </cfRule>
    <cfRule type="cellIs" dxfId="1061" priority="14" stopIfTrue="1" operator="greaterThan">
      <formula>$F$36</formula>
    </cfRule>
    <cfRule type="cellIs" dxfId="1060" priority="12" stopIfTrue="1" operator="greaterThan">
      <formula>$F$38</formula>
    </cfRule>
    <cfRule type="cellIs" dxfId="1059" priority="13" stopIfTrue="1" operator="lessThanOrEqual">
      <formula>0</formula>
    </cfRule>
  </conditionalFormatting>
  <conditionalFormatting sqref="H60:H67">
    <cfRule type="cellIs" dxfId="1058" priority="84" stopIfTrue="1" operator="greaterThan">
      <formula>$J60</formula>
    </cfRule>
    <cfRule type="cellIs" dxfId="1057" priority="85" stopIfTrue="1" operator="lessThanOrEqual">
      <formula>0</formula>
    </cfRule>
  </conditionalFormatting>
  <conditionalFormatting sqref="H68">
    <cfRule type="cellIs" dxfId="1056" priority="88" operator="greaterThan">
      <formula>5.3</formula>
    </cfRule>
  </conditionalFormatting>
  <conditionalFormatting sqref="H71 H73:H79">
    <cfRule type="cellIs" dxfId="1055" priority="122" stopIfTrue="1" operator="greaterThan">
      <formula>4.5</formula>
    </cfRule>
    <cfRule type="cellIs" dxfId="1054" priority="123" stopIfTrue="1" operator="lessThanOrEqual">
      <formula>0</formula>
    </cfRule>
  </conditionalFormatting>
  <conditionalFormatting sqref="H54:I54">
    <cfRule type="cellIs" dxfId="1053" priority="16" stopIfTrue="1" operator="greaterThan">
      <formula>$F$37</formula>
    </cfRule>
    <cfRule type="cellIs" dxfId="1052" priority="19" stopIfTrue="1" operator="lessThanOrEqual">
      <formula>0</formula>
    </cfRule>
  </conditionalFormatting>
  <conditionalFormatting sqref="H55:I55">
    <cfRule type="cellIs" dxfId="1051" priority="72" stopIfTrue="1" operator="lessThanOrEqual">
      <formula>0</formula>
    </cfRule>
    <cfRule type="cellIs" dxfId="1050" priority="69" stopIfTrue="1" operator="greaterThan">
      <formula>$F$61</formula>
    </cfRule>
  </conditionalFormatting>
  <conditionalFormatting sqref="H56:I56">
    <cfRule type="cellIs" dxfId="1049" priority="5" stopIfTrue="1" operator="lessThanOrEqual">
      <formula>0</formula>
    </cfRule>
    <cfRule type="cellIs" dxfId="1048" priority="2" stopIfTrue="1" operator="greaterThan">
      <formula>$F$37</formula>
    </cfRule>
  </conditionalFormatting>
  <conditionalFormatting sqref="H69:I69">
    <cfRule type="cellIs" dxfId="1047" priority="53" stopIfTrue="1" operator="greaterThan">
      <formula>$J69</formula>
    </cfRule>
    <cfRule type="cellIs" dxfId="1046" priority="54" stopIfTrue="1" operator="lessThanOrEqual">
      <formula>0</formula>
    </cfRule>
  </conditionalFormatting>
  <conditionalFormatting sqref="I22">
    <cfRule type="cellIs" dxfId="1045" priority="63" operator="lessThan">
      <formula>98</formula>
    </cfRule>
    <cfRule type="cellIs" dxfId="1044" priority="60" operator="lessThan">
      <formula>97.8</formula>
    </cfRule>
  </conditionalFormatting>
  <conditionalFormatting sqref="I54">
    <cfRule type="cellIs" dxfId="1043" priority="23" stopIfTrue="1" operator="lessThanOrEqual">
      <formula>0</formula>
    </cfRule>
    <cfRule type="cellIs" dxfId="1042" priority="25" stopIfTrue="1" operator="lessThanOrEqual">
      <formula>0</formula>
    </cfRule>
    <cfRule type="cellIs" dxfId="1041" priority="22" stopIfTrue="1" operator="greaterThan">
      <formula>$F$37</formula>
    </cfRule>
    <cfRule type="cellIs" dxfId="1040" priority="24" stopIfTrue="1" operator="greaterThan">
      <formula>$F$35</formula>
    </cfRule>
    <cfRule type="cellIs" dxfId="1039" priority="20" stopIfTrue="1" operator="greaterThan">
      <formula>$F$35</formula>
    </cfRule>
    <cfRule type="cellIs" dxfId="1038" priority="21" stopIfTrue="1" operator="lessThanOrEqual">
      <formula>0</formula>
    </cfRule>
  </conditionalFormatting>
  <conditionalFormatting sqref="I55">
    <cfRule type="cellIs" dxfId="1037" priority="73" stopIfTrue="1" operator="greaterThan">
      <formula>$F$59</formula>
    </cfRule>
    <cfRule type="cellIs" dxfId="1036" priority="75" stopIfTrue="1" operator="greaterThan">
      <formula>$F$61</formula>
    </cfRule>
    <cfRule type="cellIs" dxfId="1035" priority="76" stopIfTrue="1" operator="lessThanOrEqual">
      <formula>0</formula>
    </cfRule>
    <cfRule type="cellIs" dxfId="1034" priority="77" stopIfTrue="1" operator="greaterThan">
      <formula>$F$59</formula>
    </cfRule>
    <cfRule type="cellIs" dxfId="1033" priority="78" stopIfTrue="1" operator="lessThanOrEqual">
      <formula>0</formula>
    </cfRule>
    <cfRule type="cellIs" dxfId="1032" priority="74" stopIfTrue="1" operator="lessThanOrEqual">
      <formula>0</formula>
    </cfRule>
  </conditionalFormatting>
  <conditionalFormatting sqref="I56">
    <cfRule type="cellIs" dxfId="1031" priority="6" stopIfTrue="1" operator="greaterThan">
      <formula>$F$35</formula>
    </cfRule>
    <cfRule type="cellIs" dxfId="1030" priority="7" stopIfTrue="1" operator="lessThanOrEqual">
      <formula>0</formula>
    </cfRule>
    <cfRule type="cellIs" dxfId="1029" priority="8" stopIfTrue="1" operator="greaterThan">
      <formula>$F$37</formula>
    </cfRule>
    <cfRule type="cellIs" dxfId="1028" priority="9" stopIfTrue="1" operator="lessThanOrEqual">
      <formula>0</formula>
    </cfRule>
    <cfRule type="cellIs" dxfId="1027" priority="10" stopIfTrue="1" operator="greaterThan">
      <formula>$F$35</formula>
    </cfRule>
    <cfRule type="cellIs" dxfId="1026" priority="11" stopIfTrue="1" operator="lessThanOrEqual">
      <formula>0</formula>
    </cfRule>
  </conditionalFormatting>
  <conditionalFormatting sqref="I60:I68">
    <cfRule type="cellIs" dxfId="1025" priority="89" stopIfTrue="1" operator="greaterThan">
      <formula>$J60</formula>
    </cfRule>
    <cfRule type="cellIs" dxfId="1024" priority="90" stopIfTrue="1" operator="lessThanOrEqual">
      <formula>0</formula>
    </cfRule>
  </conditionalFormatting>
  <conditionalFormatting sqref="I71:I79">
    <cfRule type="cellIs" dxfId="1023" priority="119" stopIfTrue="1" operator="lessThanOrEqual">
      <formula>0</formula>
    </cfRule>
    <cfRule type="cellIs" dxfId="1022" priority="118" stopIfTrue="1" operator="greaterThan">
      <formula>4.5</formula>
    </cfRule>
  </conditionalFormatting>
  <conditionalFormatting sqref="I10:J21">
    <cfRule type="cellIs" dxfId="1021" priority="49" operator="lessThan">
      <formula>97.9</formula>
    </cfRule>
  </conditionalFormatting>
  <conditionalFormatting sqref="J22">
    <cfRule type="cellIs" dxfId="1020" priority="62" operator="lessThan">
      <formula>97.4</formula>
    </cfRule>
    <cfRule type="cellIs" dxfId="1019" priority="61" operator="notBetween">
      <formula>98</formula>
      <formula>99.9</formula>
    </cfRule>
  </conditionalFormatting>
  <conditionalFormatting sqref="J25:J27">
    <cfRule type="cellIs" dxfId="1018" priority="32" stopIfTrue="1" operator="lessThan">
      <formula>96.8</formula>
    </cfRule>
    <cfRule type="cellIs" dxfId="1017" priority="34" operator="lessThan">
      <formula>98</formula>
    </cfRule>
    <cfRule type="cellIs" dxfId="1016" priority="33" stopIfTrue="1" operator="greaterThan">
      <formula>100</formula>
    </cfRule>
  </conditionalFormatting>
  <conditionalFormatting sqref="J25:J29">
    <cfRule type="cellIs" dxfId="1015" priority="31" operator="lessThan">
      <formula>97.4</formula>
    </cfRule>
  </conditionalFormatting>
  <conditionalFormatting sqref="J30">
    <cfRule type="cellIs" dxfId="1014" priority="35" operator="lessThan">
      <formula>98</formula>
    </cfRule>
  </conditionalFormatting>
  <conditionalFormatting sqref="J31:J33">
    <cfRule type="cellIs" dxfId="1013" priority="37" stopIfTrue="1" operator="greaterThan">
      <formula>100</formula>
    </cfRule>
    <cfRule type="cellIs" dxfId="1012" priority="36" stopIfTrue="1" operator="lessThan">
      <formula>96.8</formula>
    </cfRule>
  </conditionalFormatting>
  <conditionalFormatting sqref="J31:J34">
    <cfRule type="cellIs" dxfId="1011" priority="38" operator="lessThan">
      <formula>98</formula>
    </cfRule>
  </conditionalFormatting>
  <conditionalFormatting sqref="J69">
    <cfRule type="cellIs" dxfId="1010" priority="51" stopIfTrue="1" operator="lessThanOrEqual">
      <formula>0</formula>
    </cfRule>
    <cfRule type="cellIs" dxfId="1009" priority="50" stopIfTrue="1" operator="greaterThan">
      <formula>$F69</formula>
    </cfRule>
  </conditionalFormatting>
  <conditionalFormatting sqref="K10:K22">
    <cfRule type="cellIs" dxfId="1008" priority="42" operator="greaterThan">
      <formula>6</formula>
    </cfRule>
    <cfRule type="cellIs" dxfId="1007" priority="43" operator="lessThan">
      <formula>4</formula>
    </cfRule>
    <cfRule type="cellIs" dxfId="1006" priority="47" operator="greaterThan">
      <formula>6.4</formula>
    </cfRule>
  </conditionalFormatting>
  <conditionalFormatting sqref="K39:K48">
    <cfRule type="cellIs" dxfId="1005" priority="30" operator="notEqual">
      <formula>#REF!</formula>
    </cfRule>
  </conditionalFormatting>
  <conditionalFormatting sqref="K54:K56 K60:N68">
    <cfRule type="cellIs" dxfId="1004" priority="102" stopIfTrue="1" operator="lessThan">
      <formula>100%</formula>
    </cfRule>
  </conditionalFormatting>
  <conditionalFormatting sqref="K71:K76">
    <cfRule type="cellIs" dxfId="1003" priority="124" stopIfTrue="1" operator="lessThan">
      <formula>100%</formula>
    </cfRule>
  </conditionalFormatting>
  <conditionalFormatting sqref="K78:K79">
    <cfRule type="cellIs" dxfId="1002" priority="131" stopIfTrue="1" operator="lessThan">
      <formula>100%</formula>
    </cfRule>
  </conditionalFormatting>
  <conditionalFormatting sqref="L10:L22">
    <cfRule type="cellIs" dxfId="1001" priority="45" operator="greaterThan">
      <formula>65</formula>
    </cfRule>
    <cfRule type="cellIs" dxfId="1000" priority="44" operator="between">
      <formula>61</formula>
      <formula>65</formula>
    </cfRule>
  </conditionalFormatting>
  <conditionalFormatting sqref="L25:M36">
    <cfRule type="cellIs" dxfId="999" priority="57" operator="lessThan">
      <formula>98</formula>
    </cfRule>
  </conditionalFormatting>
  <conditionalFormatting sqref="L40:N40">
    <cfRule type="cellIs" dxfId="998" priority="66" operator="notEqual">
      <formula>#REF!</formula>
    </cfRule>
  </conditionalFormatting>
  <conditionalFormatting sqref="L69:N69">
    <cfRule type="cellIs" dxfId="997" priority="52" stopIfTrue="1" operator="lessThan">
      <formula>100%</formula>
    </cfRule>
  </conditionalFormatting>
  <conditionalFormatting sqref="L71:N79">
    <cfRule type="cellIs" dxfId="996" priority="109" stopIfTrue="1" operator="lessThan">
      <formula>100%</formula>
    </cfRule>
  </conditionalFormatting>
  <conditionalFormatting sqref="M10:M22">
    <cfRule type="expression" dxfId="995" priority="40">
      <formula>IF(+(IF(M10&lt;V10,0,IF(M10&gt;W10,0,1)))=0,1)</formula>
    </cfRule>
  </conditionalFormatting>
  <conditionalFormatting sqref="M6:N6">
    <cfRule type="cellIs" dxfId="994" priority="68" operator="greaterThanOrEqual">
      <formula>19</formula>
    </cfRule>
    <cfRule type="cellIs" dxfId="993" priority="67" operator="greaterThanOrEqual">
      <formula>15</formula>
    </cfRule>
  </conditionalFormatting>
  <conditionalFormatting sqref="N10:N22">
    <cfRule type="expression" dxfId="992" priority="41">
      <formula>IF(+(IF(N10&lt;X10,0,IF(N10&gt;Y10,0,1)))=0,1)</formula>
    </cfRule>
  </conditionalFormatting>
  <conditionalFormatting sqref="N22">
    <cfRule type="expression" dxfId="991" priority="139">
      <formula>IF(+(IF(N22&lt;X62,0,IF(N22&gt;Y62,0,1)))=0,1)</formula>
    </cfRule>
    <cfRule type="expression" dxfId="990" priority="140">
      <formula>IF(+(IF(N22&lt;X57,0,IF(N22&gt;Y57,0,1)))=0,1)</formula>
    </cfRule>
  </conditionalFormatting>
  <conditionalFormatting sqref="P6">
    <cfRule type="cellIs" dxfId="989" priority="105" operator="greaterThanOrEqual">
      <formula>19</formula>
    </cfRule>
  </conditionalFormatting>
  <dataValidations count="1">
    <dataValidation type="list" allowBlank="1" showInputMessage="1" showErrorMessage="1" sqref="S8 B22" xr:uid="{2800C211-EE05-4373-81B4-D778ED0B2F3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5782-D10B-4D0D-B109-87587BAF3E47}">
  <sheetPr>
    <pageSetUpPr fitToPage="1"/>
  </sheetPr>
  <dimension ref="A1:BF76"/>
  <sheetViews>
    <sheetView topLeftCell="A15" zoomScale="80" zoomScaleNormal="80" workbookViewId="0">
      <selection activeCell="L49" sqref="L49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45740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[23]Brewhouse!$A319</f>
        <v>CA216</v>
      </c>
      <c r="D10" s="279">
        <f>[23]Brewhouse!$AF319</f>
        <v>57.2</v>
      </c>
      <c r="E10" s="279">
        <f>[23]Brewhouse!$AI319</f>
        <v>54</v>
      </c>
      <c r="F10" s="278">
        <f>[23]Brewhouse!$V319</f>
        <v>63</v>
      </c>
      <c r="G10" s="279">
        <f>[23]Brewhouse!$AG319</f>
        <v>12</v>
      </c>
      <c r="H10" s="396">
        <v>11.8</v>
      </c>
      <c r="I10" s="368">
        <f>[23]Brewhouse!$AU319</f>
        <v>106.95998042120141</v>
      </c>
      <c r="J10" s="368">
        <f>[23]Brewhouse!$AV319</f>
        <v>108.2830214712919</v>
      </c>
      <c r="K10" s="281">
        <f>[23]Brewhouse!$Q319</f>
        <v>0.92035398230087795</v>
      </c>
      <c r="L10" s="276">
        <f>[23]Brewhouse!$P319</f>
        <v>61</v>
      </c>
      <c r="M10" s="397">
        <f>[23]Brewhouse!$U319-[23]Brewhouse!$T319</f>
        <v>0.12361111111111112</v>
      </c>
      <c r="N10" s="370">
        <f>[23]Brewhouse!$Z319</f>
        <v>0.29722222222222222</v>
      </c>
      <c r="O10" s="371" t="str">
        <f>[23]Brewhouse!$AX319</f>
        <v>K.Benjamin</v>
      </c>
      <c r="P10" s="441"/>
      <c r="Q10" s="347"/>
      <c r="S10" s="277" t="str">
        <f t="shared" ref="S10:S19" si="0">B10</f>
        <v>CARIB</v>
      </c>
      <c r="T10" s="296">
        <f t="shared" ref="T10:T19" si="1">VLOOKUP($B10,$S$3:$Y$9,2,FALSE)</f>
        <v>11.6</v>
      </c>
      <c r="U10" s="296">
        <f t="shared" ref="U10:U19" si="2">VLOOKUP($B10,$S$3:$Y$9,3,FALSE)</f>
        <v>12</v>
      </c>
      <c r="V10" s="297">
        <f t="shared" ref="V10:V19" si="3">VLOOKUP($B10,$S$3:$Y$9,4,FALSE)</f>
        <v>0</v>
      </c>
      <c r="W10" s="297">
        <f t="shared" ref="W10:W19" si="4">VLOOKUP($B10,$S$3:$Y$9,5,FALSE)</f>
        <v>0.118055555555556</v>
      </c>
      <c r="X10" s="297">
        <f t="shared" ref="X10:X19" si="5">VLOOKUP($B10,$S$3:$Y$9,6,FALSE)</f>
        <v>0.22569444444444445</v>
      </c>
      <c r="Y10" s="297">
        <f t="shared" ref="Y10:Y19" si="6">VLOOKUP($B10,$S$3:$Y$9,7,FALSE)</f>
        <v>0.2638888888888889</v>
      </c>
      <c r="Z10" s="297">
        <f t="shared" ref="Z10:Z19" si="7">VLOOKUP($B10,$S$3:$AA$9,8,FALSE)</f>
        <v>0</v>
      </c>
      <c r="AA10" s="296">
        <f t="shared" ref="AA10:AA19" si="8">VLOOKUP($B10,$S$3:$AA$9,9,FALSE)</f>
        <v>60</v>
      </c>
    </row>
    <row r="11" spans="2:30" ht="15.7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441"/>
      <c r="Q11" s="347"/>
      <c r="S11" s="277"/>
      <c r="T11" s="296"/>
      <c r="U11" s="296"/>
      <c r="V11" s="297"/>
      <c r="W11" s="297"/>
      <c r="X11" s="297"/>
      <c r="Y11" s="297"/>
      <c r="Z11" s="297"/>
      <c r="AA11" s="296"/>
    </row>
    <row r="12" spans="2:30" ht="15.7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41"/>
      <c r="Q12" s="347"/>
      <c r="S12" s="277"/>
      <c r="T12" s="296"/>
      <c r="U12" s="296"/>
      <c r="V12" s="297"/>
      <c r="W12" s="297"/>
      <c r="X12" s="297"/>
      <c r="Y12" s="297"/>
      <c r="Z12" s="297"/>
      <c r="AA12" s="296"/>
    </row>
    <row r="13" spans="2:30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41"/>
      <c r="Q13" s="347"/>
      <c r="S13" s="277"/>
      <c r="T13" s="296"/>
      <c r="U13" s="296"/>
      <c r="V13" s="297"/>
      <c r="W13" s="297"/>
      <c r="X13" s="297"/>
      <c r="Y13" s="297"/>
      <c r="Z13" s="297"/>
      <c r="AA13" s="296"/>
    </row>
    <row r="14" spans="2:30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41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41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369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1:27" ht="14.4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369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 thickBot="1">
      <c r="B18" s="358"/>
      <c r="C18" s="358"/>
      <c r="D18" s="358"/>
      <c r="E18" s="358"/>
      <c r="F18" s="294"/>
      <c r="G18" s="294"/>
      <c r="H18" s="348"/>
      <c r="I18" s="481" t="s">
        <v>34</v>
      </c>
      <c r="J18" s="481"/>
      <c r="K18" s="481"/>
      <c r="L18" s="481"/>
      <c r="M18" s="481"/>
      <c r="N18" s="481"/>
      <c r="O18" s="1"/>
      <c r="P18" s="12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" thickBot="1">
      <c r="B19" s="388" t="s">
        <v>145</v>
      </c>
      <c r="C19" s="388"/>
      <c r="D19" s="459" t="s">
        <v>35</v>
      </c>
      <c r="E19" s="460"/>
      <c r="F19" s="294"/>
      <c r="G19" s="294"/>
      <c r="H19" s="348"/>
      <c r="I19" s="24" t="s">
        <v>17</v>
      </c>
      <c r="J19" s="25" t="s">
        <v>36</v>
      </c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S19" s="277" t="str">
        <f t="shared" si="0"/>
        <v>BRAND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" customHeight="1">
      <c r="A20" s="28"/>
      <c r="B20" s="535" t="str">
        <f>I20</f>
        <v>CARIB</v>
      </c>
      <c r="C20" s="362" cm="1">
        <f t="array" ref="C20:C27">[23]Process!$D$262:$D$269</f>
        <v>12.2</v>
      </c>
      <c r="D20" s="485">
        <v>11.75</v>
      </c>
      <c r="E20" s="486"/>
      <c r="F20" s="294"/>
      <c r="G20" s="294"/>
      <c r="H20" s="348"/>
      <c r="I20" s="29" t="s">
        <v>6</v>
      </c>
      <c r="J20" s="280">
        <f>I10</f>
        <v>106.95998042120141</v>
      </c>
      <c r="K20" s="284">
        <f>COUNTA([23]Brewhouse!$A$255:$A$319)</f>
        <v>65</v>
      </c>
      <c r="L20" s="302">
        <f>AVERAGE([23]Brewhouse!$AU$255:$AU319)</f>
        <v>99.143313415563568</v>
      </c>
      <c r="M20" s="302">
        <f>AVERAGE([23]Brewhouse!$AU$102:$AU$171,[23]Brewhouse!$AU$173:$AU$253,[23]Brewhouse!$AU$255:$AU$319)</f>
        <v>96.67120845018097</v>
      </c>
      <c r="N20" s="30">
        <v>98</v>
      </c>
      <c r="O20" s="11"/>
      <c r="P20" s="31"/>
      <c r="S20" s="277"/>
      <c r="T20" s="296"/>
      <c r="U20" s="296"/>
      <c r="V20" s="297"/>
      <c r="W20" s="297"/>
      <c r="X20" s="297"/>
      <c r="Y20" s="297"/>
      <c r="Z20" s="297"/>
      <c r="AA20" s="296"/>
    </row>
    <row r="21" spans="1:27" ht="15" customHeight="1">
      <c r="A21" s="28"/>
      <c r="B21" s="533"/>
      <c r="C21" s="349">
        <v>12</v>
      </c>
      <c r="D21" s="487"/>
      <c r="E21" s="488"/>
      <c r="F21" s="294"/>
      <c r="G21" s="294"/>
      <c r="H21" s="348"/>
      <c r="I21" s="33" t="s">
        <v>9</v>
      </c>
      <c r="J21" s="280"/>
      <c r="K21" s="284">
        <f>COUNTA([24]Brewhouse!$A$105:$A$128)</f>
        <v>24</v>
      </c>
      <c r="L21" s="302">
        <f>AVERAGE([24]Brewhouse!$AS$105:$AS$128)</f>
        <v>98.709474475329685</v>
      </c>
      <c r="M21" s="302">
        <f>AVERAGE([24]Brewhouse!$AS$15:$AS$64,[24]Brewhouse!$AS$66:$AS$103,[24]Brewhouse!$AS$105:$AS$128)</f>
        <v>96.492521063456024</v>
      </c>
      <c r="N21" s="30">
        <v>98</v>
      </c>
      <c r="O21" s="11"/>
      <c r="P21" s="31"/>
      <c r="S21" s="277"/>
      <c r="T21" s="296"/>
      <c r="U21" s="296"/>
      <c r="V21" s="297"/>
      <c r="W21" s="297"/>
      <c r="X21" s="297"/>
      <c r="Y21" s="297"/>
      <c r="Z21" s="297"/>
      <c r="AA21" s="296"/>
    </row>
    <row r="22" spans="1:27" ht="14.7" customHeight="1">
      <c r="A22" s="28"/>
      <c r="B22" s="533"/>
      <c r="C22" s="349">
        <v>11.7</v>
      </c>
      <c r="D22" s="485">
        <v>11.9</v>
      </c>
      <c r="E22" s="486"/>
      <c r="F22" s="294"/>
      <c r="G22" s="294"/>
      <c r="H22" s="348"/>
      <c r="I22" s="34" t="s">
        <v>12</v>
      </c>
      <c r="J22" s="280"/>
      <c r="K22" s="284">
        <f>COUNTA([25]Brewhouse!$A$24:$A$31)</f>
        <v>8</v>
      </c>
      <c r="L22" s="302">
        <f>AVERAGE([25]Brewhouse!$AU$24:$AU$31)</f>
        <v>98.193576760694924</v>
      </c>
      <c r="M22" s="302">
        <f>AVERAGE([25]Brewhouse!$AU$4:$AU$7,[25]Brewhouse!$AU$9:$AU$22,[25]Brewhouse!$AU$24:$AU$31)</f>
        <v>96.826546264179598</v>
      </c>
      <c r="N22" s="30">
        <v>98</v>
      </c>
      <c r="O22" s="11"/>
      <c r="P22" s="31"/>
      <c r="S22" s="23"/>
      <c r="T22" s="1"/>
      <c r="U22" s="1"/>
      <c r="AA22" s="285"/>
    </row>
    <row r="23" spans="1:27" ht="14.7" customHeight="1">
      <c r="A23" s="28"/>
      <c r="B23" s="533"/>
      <c r="C23" s="349">
        <v>11.7</v>
      </c>
      <c r="D23" s="487"/>
      <c r="E23" s="488"/>
      <c r="F23" s="294"/>
      <c r="G23" s="294"/>
      <c r="H23" s="348"/>
      <c r="I23" s="22" t="s">
        <v>33</v>
      </c>
      <c r="J23" s="280"/>
      <c r="K23" s="284"/>
      <c r="L23" s="302"/>
      <c r="M23" s="302">
        <f>AVERAGE([26]Brewhouse!$AV$5:$AV$14,[26]Brewhouse!$AV$16:$AV$19)</f>
        <v>98.230957815544443</v>
      </c>
      <c r="N23" s="30">
        <v>98</v>
      </c>
      <c r="O23" s="11"/>
      <c r="P23" s="31"/>
      <c r="S23" s="23"/>
      <c r="T23" s="1"/>
      <c r="U23" s="1"/>
      <c r="AA23" s="285"/>
    </row>
    <row r="24" spans="1:27" ht="14.7" customHeight="1">
      <c r="A24" s="28"/>
      <c r="B24" s="533"/>
      <c r="C24" s="349">
        <v>12.6</v>
      </c>
      <c r="D24" s="485">
        <v>11.94</v>
      </c>
      <c r="E24" s="486"/>
      <c r="F24" s="294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S24" s="23"/>
    </row>
    <row r="25" spans="1:27" ht="14.7" customHeight="1">
      <c r="A25" s="28"/>
      <c r="B25" s="533"/>
      <c r="C25" s="349">
        <v>11.62</v>
      </c>
      <c r="D25" s="487"/>
      <c r="E25" s="488"/>
      <c r="F25" s="294"/>
      <c r="G25" s="294"/>
      <c r="H25" s="348"/>
      <c r="I25" s="36" t="s">
        <v>15</v>
      </c>
      <c r="J25" s="323"/>
      <c r="K25" s="284"/>
      <c r="L25" s="302"/>
      <c r="M25" s="302">
        <f>AVERAGE([27]Brewhouse!$AT$4:$AT$11)</f>
        <v>94.812616598822359</v>
      </c>
      <c r="N25" s="30">
        <v>98</v>
      </c>
      <c r="O25" s="11"/>
      <c r="P25" s="31"/>
      <c r="S25" s="23"/>
    </row>
    <row r="26" spans="1:27" ht="14.7" customHeight="1">
      <c r="A26" s="28"/>
      <c r="B26" s="533"/>
      <c r="C26" s="349">
        <v>12.3</v>
      </c>
      <c r="D26" s="485">
        <v>11.87</v>
      </c>
      <c r="E26" s="486"/>
      <c r="F26" s="294"/>
      <c r="G26" s="294"/>
      <c r="H26" s="348"/>
      <c r="I26" s="37" t="s">
        <v>16</v>
      </c>
      <c r="J26" s="323"/>
      <c r="K26" s="284">
        <f>COUNTA([22]Brewhouse!$A$22:$A$29)</f>
        <v>8</v>
      </c>
      <c r="L26" s="302">
        <f>AVERAGE([22]Brewhouse!$AY$22:$AY$29)</f>
        <v>98.065834237903474</v>
      </c>
      <c r="M26" s="302">
        <f>AVERAGE([22]Brewhouse!$AY$6:$AY$13,[22]Brewhouse!$AY$15:$AY$20,[22]Brewhouse!$AY$22:$AY$29)</f>
        <v>95.660462473217876</v>
      </c>
      <c r="N26" s="30">
        <v>98</v>
      </c>
      <c r="O26" s="11"/>
      <c r="P26" s="31" t="s">
        <v>41</v>
      </c>
      <c r="S26" s="23"/>
      <c r="X26" s="275" t="s">
        <v>41</v>
      </c>
    </row>
    <row r="27" spans="1:27" ht="14.7" customHeight="1">
      <c r="A27" s="28"/>
      <c r="B27" s="533"/>
      <c r="C27" s="349">
        <v>11.93</v>
      </c>
      <c r="D27" s="487"/>
      <c r="E27" s="488"/>
      <c r="F27" s="294"/>
      <c r="G27" s="294"/>
      <c r="H27" s="348"/>
      <c r="I27" s="415" t="s">
        <v>158</v>
      </c>
      <c r="J27" s="326"/>
      <c r="K27" s="284"/>
      <c r="L27" s="305"/>
      <c r="M27" s="305">
        <f>AVERAGE([28]Brewhouse!$AU$5:$AU$8)</f>
        <v>91.006888337619571</v>
      </c>
      <c r="N27" s="30">
        <v>98</v>
      </c>
      <c r="O27" s="11"/>
      <c r="P27" s="31"/>
      <c r="S27" s="23"/>
    </row>
    <row r="28" spans="1:27" ht="14.7" customHeight="1">
      <c r="A28" s="28"/>
      <c r="B28" s="533"/>
      <c r="C28" s="349"/>
      <c r="D28" s="485"/>
      <c r="E28" s="486"/>
      <c r="F28" s="294"/>
      <c r="G28" s="294"/>
      <c r="H28" s="348"/>
      <c r="I28" s="414" t="s">
        <v>157</v>
      </c>
      <c r="J28" s="326"/>
      <c r="K28" s="284"/>
      <c r="L28" s="305"/>
      <c r="M28" s="305"/>
      <c r="N28" s="30">
        <v>98</v>
      </c>
      <c r="O28" s="11"/>
      <c r="P28" s="31"/>
      <c r="S28" s="23"/>
    </row>
    <row r="29" spans="1:27" ht="15" customHeight="1" thickBot="1">
      <c r="A29" s="28"/>
      <c r="B29" s="533"/>
      <c r="C29" s="349"/>
      <c r="D29" s="487"/>
      <c r="E29" s="488"/>
      <c r="F29" s="294"/>
      <c r="G29" s="294"/>
      <c r="H29" s="348"/>
      <c r="I29" s="410" t="s">
        <v>156</v>
      </c>
      <c r="J29" s="327"/>
      <c r="K29" s="411"/>
      <c r="L29" s="412"/>
      <c r="M29" s="412"/>
      <c r="N29" s="413">
        <v>98</v>
      </c>
      <c r="O29" s="11"/>
      <c r="P29" s="31"/>
      <c r="S29" s="23"/>
    </row>
    <row r="30" spans="1:27" ht="15" customHeight="1" thickBot="1">
      <c r="A30" s="28"/>
      <c r="B30" s="533"/>
      <c r="C30" s="349"/>
      <c r="D30" s="485"/>
      <c r="E30" s="486"/>
      <c r="F30" s="294"/>
      <c r="G30" s="294"/>
      <c r="H30" s="348"/>
      <c r="I30" s="1"/>
      <c r="J30" s="39"/>
      <c r="K30" s="408">
        <f>SUM(K20:K29)</f>
        <v>105</v>
      </c>
      <c r="L30" s="409">
        <f>((L20*K20)+(L21*K21)+(L22*K22)+(L23*K23)+(L24*K24)+(K27*L27)+(L25*K25)+(L26*K26)+(L29*K29))/(K30)</f>
        <v>98.889695689603158</v>
      </c>
      <c r="M30" s="409">
        <f>AVERAGE('[29]Jan 31st'!$L$65,'[30]Feb 28th'!$L$35,L30)</f>
        <v>96.777557372334059</v>
      </c>
      <c r="N30" s="40">
        <v>98</v>
      </c>
      <c r="O30" s="11"/>
      <c r="P30" s="31"/>
      <c r="S30" s="23"/>
    </row>
    <row r="31" spans="1:27" ht="15" thickBot="1">
      <c r="B31" s="534"/>
      <c r="C31" s="350"/>
      <c r="D31" s="487"/>
      <c r="E31" s="488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S31" s="23"/>
    </row>
    <row r="32" spans="1:27" ht="15" thickBot="1">
      <c r="B32" s="532"/>
      <c r="C32" s="362"/>
      <c r="D32" s="498"/>
      <c r="E32" s="499"/>
      <c r="F32" s="43"/>
      <c r="G32" s="41"/>
      <c r="H32" s="41"/>
      <c r="I32" s="42"/>
      <c r="J32" s="501" t="s">
        <v>129</v>
      </c>
      <c r="K32" s="501"/>
      <c r="L32" s="294"/>
      <c r="M32" s="294"/>
      <c r="N32" s="294"/>
      <c r="O32" s="294"/>
      <c r="P32" s="12"/>
      <c r="S32" s="23" t="s">
        <v>41</v>
      </c>
    </row>
    <row r="33" spans="2:57" ht="13.5" customHeight="1" thickBot="1">
      <c r="B33" s="533"/>
      <c r="C33" s="349"/>
      <c r="D33" s="500"/>
      <c r="E33" s="488"/>
      <c r="F33" s="43"/>
      <c r="G33" s="41"/>
      <c r="H33" s="41"/>
      <c r="I33" s="42"/>
      <c r="J33" s="418" t="s">
        <v>17</v>
      </c>
      <c r="K33" s="293" t="s">
        <v>147</v>
      </c>
      <c r="L33" s="502" t="s">
        <v>136</v>
      </c>
      <c r="M33" s="502"/>
      <c r="N33" s="503"/>
      <c r="O33" s="294"/>
      <c r="P33" s="12"/>
      <c r="S33" s="23"/>
    </row>
    <row r="34" spans="2:57" ht="15" customHeight="1" thickBot="1">
      <c r="B34" s="533"/>
      <c r="C34" s="349"/>
      <c r="D34" s="504"/>
      <c r="E34" s="486"/>
      <c r="F34" s="43"/>
      <c r="G34" s="41"/>
      <c r="H34" s="41"/>
      <c r="I34" s="42"/>
      <c r="J34" s="419" t="s">
        <v>6</v>
      </c>
      <c r="K34" s="324">
        <f>COUNTA(B10)</f>
        <v>1</v>
      </c>
      <c r="L34" s="343" t="s">
        <v>37</v>
      </c>
      <c r="M34" s="307" t="s">
        <v>38</v>
      </c>
      <c r="N34" s="307" t="s">
        <v>84</v>
      </c>
      <c r="O34" s="294"/>
      <c r="P34" s="12"/>
      <c r="S34" s="23"/>
    </row>
    <row r="35" spans="2:57" ht="15.75" customHeight="1" thickBot="1">
      <c r="B35" s="533"/>
      <c r="C35" s="349"/>
      <c r="D35" s="500"/>
      <c r="E35" s="488"/>
      <c r="F35" s="43"/>
      <c r="G35" s="41"/>
      <c r="H35" s="41"/>
      <c r="I35" s="42"/>
      <c r="J35" s="420" t="s">
        <v>9</v>
      </c>
      <c r="K35" s="324"/>
      <c r="L35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20th'!K49,'Mar. 21th'!K44)</f>
        <v>6.117647058823529</v>
      </c>
      <c r="M35" s="325">
        <f>AVERAGE('[29]Jan 29th '!$M$70,'[30]Feb 28th'!$L$40,L35)</f>
        <v>6.5428786899375133</v>
      </c>
      <c r="N35" s="400">
        <v>10</v>
      </c>
      <c r="O35" s="294"/>
      <c r="P35" s="12"/>
      <c r="S35" s="23"/>
    </row>
    <row r="36" spans="2:57" ht="15" customHeight="1">
      <c r="B36" s="533"/>
      <c r="C36" s="349"/>
      <c r="D36" s="504"/>
      <c r="E36" s="486"/>
      <c r="F36" s="43"/>
      <c r="G36" s="41"/>
      <c r="H36" s="41"/>
      <c r="I36" s="42"/>
      <c r="J36" s="421" t="s">
        <v>40</v>
      </c>
      <c r="K36" s="324"/>
      <c r="L36" s="294"/>
      <c r="M36" s="294"/>
      <c r="N36" s="294"/>
      <c r="O36" s="294"/>
      <c r="P36" s="12"/>
      <c r="S36" s="23"/>
    </row>
    <row r="37" spans="2:57" ht="15" customHeight="1">
      <c r="B37" s="533"/>
      <c r="C37" s="349"/>
      <c r="D37" s="500"/>
      <c r="E37" s="488"/>
      <c r="F37" s="43"/>
      <c r="G37" s="41"/>
      <c r="H37" s="41"/>
      <c r="I37" s="42"/>
      <c r="J37" s="422" t="s">
        <v>33</v>
      </c>
      <c r="K37" s="324"/>
      <c r="L37" s="294"/>
      <c r="M37" s="294"/>
      <c r="N37" s="294"/>
      <c r="O37" s="294"/>
      <c r="P37" s="12"/>
      <c r="S37" s="23"/>
    </row>
    <row r="38" spans="2:57" ht="14.4">
      <c r="B38" s="533"/>
      <c r="C38" s="349"/>
      <c r="D38" s="504"/>
      <c r="E38" s="486"/>
      <c r="F38" s="43"/>
      <c r="G38" s="41"/>
      <c r="H38" s="41"/>
      <c r="I38" s="42"/>
      <c r="J38" s="423" t="s">
        <v>16</v>
      </c>
      <c r="K38" s="324"/>
      <c r="L38" s="294"/>
      <c r="M38" s="294"/>
      <c r="N38" s="294"/>
      <c r="O38" s="294"/>
      <c r="P38" s="12"/>
      <c r="S38" s="23"/>
      <c r="BD38" s="44"/>
      <c r="BE38" s="44"/>
    </row>
    <row r="39" spans="2:57" ht="14.4">
      <c r="B39" s="533"/>
      <c r="C39" s="349"/>
      <c r="D39" s="500"/>
      <c r="E39" s="488"/>
      <c r="F39" s="43"/>
      <c r="G39" s="41"/>
      <c r="H39" s="41"/>
      <c r="I39" s="42"/>
      <c r="J39" s="424" t="s">
        <v>15</v>
      </c>
      <c r="K39" s="324"/>
      <c r="L39" s="294"/>
      <c r="M39" s="294"/>
      <c r="N39" s="294"/>
      <c r="O39" s="294"/>
      <c r="P39" s="12"/>
      <c r="S39" s="23"/>
      <c r="BD39" s="44"/>
      <c r="BE39" s="44"/>
    </row>
    <row r="40" spans="2:57" ht="14.4">
      <c r="B40" s="533"/>
      <c r="C40" s="349"/>
      <c r="D40" s="505"/>
      <c r="E40" s="490"/>
      <c r="F40" s="43"/>
      <c r="G40" s="41"/>
      <c r="H40" s="41"/>
      <c r="I40" s="42"/>
      <c r="J40" s="424" t="s">
        <v>149</v>
      </c>
      <c r="K40" s="324"/>
      <c r="L40" s="294"/>
      <c r="M40" s="294"/>
      <c r="N40" s="294"/>
      <c r="O40" s="294"/>
      <c r="P40" s="12"/>
      <c r="S40" s="23"/>
      <c r="BD40" s="44"/>
      <c r="BE40" s="44"/>
    </row>
    <row r="41" spans="2:57" ht="15" thickBot="1">
      <c r="B41" s="534"/>
      <c r="C41" s="350"/>
      <c r="D41" s="506"/>
      <c r="E41" s="507"/>
      <c r="F41" s="43"/>
      <c r="G41" s="41"/>
      <c r="H41" s="41"/>
      <c r="I41" s="42"/>
      <c r="J41" s="424" t="s">
        <v>148</v>
      </c>
      <c r="K41" s="324"/>
      <c r="L41" s="294"/>
      <c r="M41" s="294"/>
      <c r="N41" s="294"/>
      <c r="O41" s="294"/>
      <c r="P41" s="12"/>
      <c r="S41" s="23"/>
      <c r="BD41" s="44"/>
      <c r="BE41" s="44"/>
    </row>
    <row r="42" spans="2:57" ht="17.7" customHeight="1" thickBot="1">
      <c r="B42" s="312" t="s">
        <v>139</v>
      </c>
      <c r="C42" s="313"/>
      <c r="D42" s="508">
        <f>AVERAGE(D20:E41)</f>
        <v>11.864999999999998</v>
      </c>
      <c r="E42" s="509"/>
      <c r="F42" s="43"/>
      <c r="G42" s="41"/>
      <c r="H42" s="41"/>
      <c r="I42" s="42"/>
      <c r="J42" s="425" t="s">
        <v>134</v>
      </c>
      <c r="K42" s="324"/>
      <c r="L42" s="294"/>
      <c r="M42" s="294"/>
      <c r="N42" s="294"/>
      <c r="O42" s="294"/>
      <c r="P42" s="12"/>
      <c r="S42" s="23"/>
      <c r="BD42" s="44"/>
      <c r="BE42" s="44"/>
    </row>
    <row r="43" spans="2:57" ht="17.7" customHeight="1">
      <c r="B43" s="363"/>
      <c r="C43" s="364"/>
      <c r="D43" s="365"/>
      <c r="E43" s="365"/>
      <c r="F43" s="43"/>
      <c r="G43" s="41"/>
      <c r="H43" s="41"/>
      <c r="I43" s="42"/>
      <c r="J43" s="425" t="s">
        <v>131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2:57" ht="15.75" customHeight="1">
      <c r="B44" s="45"/>
      <c r="C44" s="11"/>
      <c r="D44" s="11"/>
      <c r="E44" s="46"/>
      <c r="F44" s="23"/>
      <c r="G44" s="11"/>
      <c r="H44" s="41"/>
      <c r="I44" s="42"/>
      <c r="J44" s="426" t="s">
        <v>130</v>
      </c>
      <c r="K44" s="324">
        <f>SUM(K34:K43)</f>
        <v>1</v>
      </c>
      <c r="L44" s="294"/>
      <c r="M44" s="294"/>
      <c r="N44" s="294"/>
      <c r="O44" s="294"/>
      <c r="P44" s="12"/>
    </row>
    <row r="45" spans="2:57" ht="20.25" customHeight="1">
      <c r="B45" s="15" t="s">
        <v>42</v>
      </c>
      <c r="C45" s="1" t="s">
        <v>43</v>
      </c>
      <c r="D45" s="1"/>
      <c r="E45" s="1"/>
      <c r="I45" s="42"/>
      <c r="L45" s="294"/>
      <c r="P45" s="334"/>
    </row>
    <row r="46" spans="2:57" ht="15" customHeight="1" thickBot="1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8"/>
      <c r="O46" s="48"/>
      <c r="P46" s="49"/>
      <c r="X46" s="275" t="s">
        <v>41</v>
      </c>
    </row>
    <row r="47" spans="2:57" ht="15" customHeight="1" thickBot="1">
      <c r="B47" s="510" t="s">
        <v>17</v>
      </c>
      <c r="C47" s="510" t="s">
        <v>44</v>
      </c>
      <c r="D47" s="512" t="s">
        <v>45</v>
      </c>
      <c r="E47" s="467" t="s">
        <v>46</v>
      </c>
      <c r="F47" s="527" t="s">
        <v>47</v>
      </c>
      <c r="G47" s="521" t="s">
        <v>48</v>
      </c>
      <c r="H47" s="510" t="s">
        <v>49</v>
      </c>
      <c r="I47" s="510" t="s">
        <v>50</v>
      </c>
      <c r="J47" s="515" t="s">
        <v>28</v>
      </c>
      <c r="K47" s="465" t="s">
        <v>51</v>
      </c>
      <c r="L47" s="477" t="s">
        <v>52</v>
      </c>
      <c r="M47" s="515" t="s">
        <v>53</v>
      </c>
      <c r="N47" s="77"/>
      <c r="O47" s="13"/>
      <c r="P47" s="50"/>
    </row>
    <row r="48" spans="2:57" ht="28.5" customHeight="1" thickTop="1" thickBot="1">
      <c r="B48" s="511"/>
      <c r="C48" s="511"/>
      <c r="D48" s="513"/>
      <c r="E48" s="514"/>
      <c r="F48" s="528"/>
      <c r="G48" s="522"/>
      <c r="H48" s="511"/>
      <c r="I48" s="511"/>
      <c r="J48" s="516"/>
      <c r="K48" s="525"/>
      <c r="L48" s="526"/>
      <c r="M48" s="516"/>
      <c r="N48" s="77"/>
      <c r="O48" s="13"/>
      <c r="P48" s="50"/>
      <c r="Q48" s="355"/>
      <c r="R48" s="355"/>
      <c r="S48" s="355"/>
      <c r="T48" s="355"/>
      <c r="U48" s="51">
        <v>43466</v>
      </c>
      <c r="V48" s="51">
        <v>43467</v>
      </c>
      <c r="W48" s="51">
        <v>43468</v>
      </c>
      <c r="X48" s="51">
        <v>43469</v>
      </c>
      <c r="Y48" s="51">
        <v>43470</v>
      </c>
      <c r="Z48" s="51">
        <v>43471</v>
      </c>
      <c r="AA48" s="51">
        <v>43472</v>
      </c>
      <c r="AB48" s="51">
        <v>43473</v>
      </c>
      <c r="AC48" s="51">
        <v>43474</v>
      </c>
      <c r="AD48" s="51">
        <v>43475</v>
      </c>
      <c r="AE48" s="51">
        <v>43476</v>
      </c>
      <c r="AF48" s="51">
        <v>43477</v>
      </c>
      <c r="AG48" s="51">
        <v>43478</v>
      </c>
      <c r="AH48" s="51">
        <v>43479</v>
      </c>
      <c r="AI48" s="51">
        <v>43480</v>
      </c>
      <c r="AJ48" s="51">
        <v>43481</v>
      </c>
      <c r="AK48" s="51">
        <v>43482</v>
      </c>
      <c r="AL48" s="51">
        <v>43483</v>
      </c>
      <c r="AM48" s="51">
        <v>43484</v>
      </c>
      <c r="AN48" s="51">
        <v>43485</v>
      </c>
      <c r="AO48" s="51">
        <v>43486</v>
      </c>
      <c r="AP48" s="51">
        <v>43487</v>
      </c>
      <c r="AQ48" s="51">
        <v>43488</v>
      </c>
      <c r="AR48" s="51">
        <v>43489</v>
      </c>
      <c r="AS48" s="51">
        <v>43490</v>
      </c>
      <c r="AT48" s="51">
        <v>43491</v>
      </c>
      <c r="AU48" s="51">
        <v>43492</v>
      </c>
      <c r="AV48" s="51">
        <v>43493</v>
      </c>
      <c r="AW48" s="51">
        <v>43494</v>
      </c>
      <c r="AX48" s="51">
        <v>43495</v>
      </c>
      <c r="AY48" s="51">
        <v>43496</v>
      </c>
    </row>
    <row r="49" spans="2:58" s="54" customFormat="1" ht="59.25" customHeight="1" thickBot="1">
      <c r="B49" s="430" t="str">
        <f>I20</f>
        <v>CARIB</v>
      </c>
      <c r="C49" s="283">
        <v>45737</v>
      </c>
      <c r="D49" s="377">
        <f>[31]March_2025!$X$3</f>
        <v>361.8</v>
      </c>
      <c r="E49" s="378"/>
      <c r="F49" s="379"/>
      <c r="G49" s="303">
        <f>[31]March_2025!$X$7</f>
        <v>344.20000000000005</v>
      </c>
      <c r="H49" s="320"/>
      <c r="I49" s="322"/>
      <c r="J49" s="390" t="s">
        <v>168</v>
      </c>
      <c r="K49" s="433">
        <f>[33]March_2025!$X$18</f>
        <v>0.86050000000000015</v>
      </c>
      <c r="L49" s="314">
        <f>(((D49+E49)-G49)/(D49+E49))*100</f>
        <v>4.8645660585958996</v>
      </c>
      <c r="M49" s="357" t="s">
        <v>167</v>
      </c>
      <c r="N49" s="13"/>
      <c r="O49" s="13"/>
      <c r="P49" s="50"/>
      <c r="T49" s="272" t="s">
        <v>54</v>
      </c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  <c r="AP49" s="279"/>
      <c r="AQ49" s="279"/>
      <c r="AR49" s="279"/>
      <c r="AS49" s="279"/>
      <c r="AT49" s="279"/>
      <c r="AU49" s="279"/>
      <c r="AV49" s="279"/>
      <c r="AW49" s="279"/>
      <c r="AX49" s="279"/>
    </row>
    <row r="50" spans="2:58" s="54" customFormat="1" ht="11.25" customHeight="1" thickBot="1">
      <c r="B50" s="387"/>
      <c r="C50" s="283"/>
      <c r="D50" s="279"/>
      <c r="E50" s="279"/>
      <c r="F50" s="279"/>
      <c r="G50" s="279"/>
      <c r="H50" s="320"/>
      <c r="I50" s="322"/>
      <c r="J50" s="389"/>
      <c r="K50" s="434"/>
      <c r="L50" s="314"/>
      <c r="M50" s="384"/>
      <c r="N50" s="13"/>
      <c r="O50" s="13"/>
      <c r="P50" s="50"/>
      <c r="T50" s="272" t="s">
        <v>51</v>
      </c>
      <c r="U50" s="57" t="e">
        <f>[20]January_2019!D8</f>
        <v>#DIV/0!</v>
      </c>
      <c r="V50" s="57">
        <f>[20]January_2019!E8</f>
        <v>1.0319298245614037</v>
      </c>
      <c r="W50" s="57">
        <f>[20]January_2019!F8</f>
        <v>1.7789473684210526</v>
      </c>
      <c r="X50" s="57">
        <f>[20]January_2019!G8</f>
        <v>0.51929824561403504</v>
      </c>
      <c r="Y50" s="57" t="e">
        <f>[20]January_2019!H8</f>
        <v>#DIV/0!</v>
      </c>
      <c r="Z50" s="57" t="e">
        <f>[20]January_2019!I8</f>
        <v>#DIV/0!</v>
      </c>
      <c r="AA50" s="57">
        <f>[20]January_2019!J8</f>
        <v>1.365263157894737</v>
      </c>
      <c r="AB50" s="57" t="e">
        <f>[20]January_2019!K8</f>
        <v>#DIV/0!</v>
      </c>
      <c r="AC50" s="57">
        <f>[20]January_2019!L8</f>
        <v>1.0028070175438597</v>
      </c>
      <c r="AD50" s="57">
        <f>[20]January_2019!M8</f>
        <v>1.7828070175438597</v>
      </c>
      <c r="AE50" s="57" t="e">
        <f>[20]January_2019!N8</f>
        <v>#DIV/0!</v>
      </c>
      <c r="AF50" s="57" t="e">
        <f>[20]January_2019!O8</f>
        <v>#DIV/0!</v>
      </c>
      <c r="AG50" s="57">
        <f>[20]January_2019!P8</f>
        <v>0.19222222222222221</v>
      </c>
      <c r="AH50" s="57">
        <f>[20]January_2019!Q8</f>
        <v>0.52219298245614032</v>
      </c>
      <c r="AI50" s="57">
        <f>[20]January_2019!R8</f>
        <v>0.42912280701754385</v>
      </c>
      <c r="AJ50" s="57" t="e">
        <f>[20]January_2019!S8</f>
        <v>#DIV/0!</v>
      </c>
      <c r="AK50" s="57">
        <f>[20]January_2019!T8</f>
        <v>1.0340350877192983</v>
      </c>
      <c r="AL50" s="57">
        <f>[20]January_2019!U8</f>
        <v>0.98421052631578942</v>
      </c>
      <c r="AM50" s="57" t="e">
        <f>[20]January_2019!V8</f>
        <v>#DIV/0!</v>
      </c>
      <c r="AN50" s="57" t="e">
        <f>[20]January_2019!W8</f>
        <v>#DIV/0!</v>
      </c>
      <c r="AO50" s="57">
        <f>[20]January_2019!X8</f>
        <v>0.66052631578947374</v>
      </c>
      <c r="AP50" s="57">
        <f>[20]January_2019!Y8</f>
        <v>1.0375438596491227</v>
      </c>
      <c r="AQ50" s="57">
        <f>[20]January_2019!Z8</f>
        <v>0.90456140350877201</v>
      </c>
      <c r="AR50" s="57">
        <f>[20]January_2019!AA8</f>
        <v>1.0217543859649123</v>
      </c>
      <c r="AS50" s="57">
        <f>[20]January_2019!AB8</f>
        <v>0.65614035087719302</v>
      </c>
      <c r="AT50" s="57" t="e">
        <f>[20]January_2019!AC8</f>
        <v>#DIV/0!</v>
      </c>
      <c r="AU50" s="57" t="e">
        <f>[20]January_2019!AD8</f>
        <v>#DIV/0!</v>
      </c>
      <c r="AV50" s="57">
        <f>[20]January_2019!AE8</f>
        <v>1.7021052631578948</v>
      </c>
      <c r="AW50" s="57">
        <f>[20]January_2019!AF8</f>
        <v>0.60192982456140354</v>
      </c>
      <c r="AX50" s="57">
        <f>[20]January_2019!AG8</f>
        <v>1.4870175438596491</v>
      </c>
      <c r="AY50" s="277" t="e">
        <f>[20]January_2019!AH8</f>
        <v>#DIV/0!</v>
      </c>
      <c r="AZ50" s="277"/>
      <c r="BA50" s="277"/>
      <c r="BB50" s="277"/>
      <c r="BC50" s="277"/>
      <c r="BD50" s="277"/>
      <c r="BE50" s="277"/>
      <c r="BF50" s="277"/>
    </row>
    <row r="51" spans="2:58" ht="58.5" hidden="1" customHeight="1" thickBot="1">
      <c r="B51" s="430"/>
      <c r="C51" s="283"/>
      <c r="D51" s="279"/>
      <c r="E51" s="279"/>
      <c r="F51" s="279"/>
      <c r="G51" s="279"/>
      <c r="H51" s="320"/>
      <c r="I51" s="322"/>
      <c r="J51" s="390"/>
      <c r="K51" s="52"/>
      <c r="L51" s="53"/>
      <c r="M51" s="55"/>
      <c r="N51" s="77"/>
      <c r="O51" s="13"/>
      <c r="P51" s="56"/>
    </row>
    <row r="52" spans="2:58" ht="18" customHeight="1" thickBot="1">
      <c r="B52" s="58"/>
      <c r="C52" s="309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9"/>
      <c r="O52" s="56"/>
      <c r="P52" s="60"/>
    </row>
    <row r="53" spans="2:58" ht="14.4" thickBot="1">
      <c r="B53" s="517" t="s">
        <v>55</v>
      </c>
      <c r="C53" s="518"/>
      <c r="D53" s="518"/>
      <c r="E53" s="518"/>
      <c r="F53" s="519"/>
      <c r="G53" s="517" t="s">
        <v>56</v>
      </c>
      <c r="H53" s="518"/>
      <c r="I53" s="518"/>
      <c r="J53" s="519"/>
      <c r="K53" s="517" t="s">
        <v>51</v>
      </c>
      <c r="L53" s="518"/>
      <c r="M53" s="518"/>
      <c r="N53" s="520"/>
      <c r="O53" s="56"/>
      <c r="P53" s="50"/>
    </row>
    <row r="54" spans="2:58">
      <c r="B54" s="61" t="s">
        <v>17</v>
      </c>
      <c r="C54" s="62" t="s">
        <v>36</v>
      </c>
      <c r="D54" s="62" t="s">
        <v>37</v>
      </c>
      <c r="E54" s="62" t="s">
        <v>38</v>
      </c>
      <c r="F54" s="63" t="s">
        <v>39</v>
      </c>
      <c r="G54" s="62" t="s">
        <v>36</v>
      </c>
      <c r="H54" s="62" t="s">
        <v>37</v>
      </c>
      <c r="I54" s="62" t="s">
        <v>38</v>
      </c>
      <c r="J54" s="63" t="s">
        <v>39</v>
      </c>
      <c r="K54" s="62" t="s">
        <v>36</v>
      </c>
      <c r="L54" s="62" t="s">
        <v>37</v>
      </c>
      <c r="M54" s="62" t="s">
        <v>38</v>
      </c>
      <c r="N54" s="63" t="s">
        <v>39</v>
      </c>
      <c r="O54" s="56"/>
      <c r="P54" s="64"/>
    </row>
    <row r="55" spans="2:58">
      <c r="B55" s="29" t="s">
        <v>6</v>
      </c>
      <c r="C55" s="65">
        <f>L49</f>
        <v>4.8645660585958996</v>
      </c>
      <c r="D55" s="76">
        <v>7.5568323757182281</v>
      </c>
      <c r="E55" s="76">
        <v>7.1360483511134793</v>
      </c>
      <c r="F55" s="66">
        <v>4.8</v>
      </c>
      <c r="G55" s="65">
        <f>[31]March_2025!$X$11</f>
        <v>5.999833766727205</v>
      </c>
      <c r="H55" s="76">
        <v>8.3191937458465706</v>
      </c>
      <c r="I55" s="76">
        <v>7.6630494071612238</v>
      </c>
      <c r="J55" s="66">
        <v>4.8</v>
      </c>
      <c r="K55" s="67">
        <f>K49</f>
        <v>0.86050000000000015</v>
      </c>
      <c r="L55" s="194">
        <v>0.68133003917262536</v>
      </c>
      <c r="M55" s="194">
        <v>0.7992205435441766</v>
      </c>
      <c r="N55" s="68">
        <v>1</v>
      </c>
      <c r="O55" s="56"/>
      <c r="P55" s="69"/>
    </row>
    <row r="56" spans="2:58">
      <c r="B56" s="33" t="s">
        <v>9</v>
      </c>
      <c r="C56" s="65"/>
      <c r="D56" s="76">
        <v>9.73884657236127</v>
      </c>
      <c r="E56" s="76">
        <v>7.4680324642079716</v>
      </c>
      <c r="F56" s="66">
        <v>4.8</v>
      </c>
      <c r="G56" s="65"/>
      <c r="H56" s="76">
        <v>10.879264566455817</v>
      </c>
      <c r="I56" s="76">
        <v>7.8194841177455441</v>
      </c>
      <c r="J56" s="66">
        <v>4.8</v>
      </c>
      <c r="K56" s="67"/>
      <c r="L56" s="194">
        <v>0.78156534650638188</v>
      </c>
      <c r="M56" s="194">
        <v>0.72492426607121629</v>
      </c>
      <c r="N56" s="68">
        <v>1</v>
      </c>
      <c r="P56" s="69"/>
    </row>
    <row r="57" spans="2:58">
      <c r="B57" s="34" t="s">
        <v>40</v>
      </c>
      <c r="C57" s="65"/>
      <c r="D57" s="76">
        <v>10.435585654917661</v>
      </c>
      <c r="E57" s="76">
        <v>12.471734214646009</v>
      </c>
      <c r="F57" s="66">
        <v>5.5</v>
      </c>
      <c r="G57" s="65"/>
      <c r="H57" s="76">
        <v>12.668687929841122</v>
      </c>
      <c r="I57" s="76">
        <v>14.436247754556394</v>
      </c>
      <c r="J57" s="66">
        <v>5.5</v>
      </c>
      <c r="K57" s="67"/>
      <c r="L57" s="194">
        <v>0.54249999999999998</v>
      </c>
      <c r="M57" s="194">
        <v>0.52401498127340829</v>
      </c>
      <c r="N57" s="68">
        <v>1</v>
      </c>
      <c r="P57" s="69"/>
    </row>
    <row r="58" spans="2:58">
      <c r="B58" s="22" t="s">
        <v>33</v>
      </c>
      <c r="C58" s="65"/>
      <c r="D58" s="76"/>
      <c r="E58" s="76">
        <v>3.9190537266638161</v>
      </c>
      <c r="F58" s="66">
        <v>3.3</v>
      </c>
      <c r="G58" s="65"/>
      <c r="H58" s="76"/>
      <c r="I58" s="76">
        <v>5.345661717473071</v>
      </c>
      <c r="J58" s="66">
        <v>3.3</v>
      </c>
      <c r="K58" s="67"/>
      <c r="L58" s="194"/>
      <c r="M58" s="194">
        <v>0.78853801169590654</v>
      </c>
      <c r="N58" s="68">
        <v>1</v>
      </c>
      <c r="P58" s="69"/>
    </row>
    <row r="59" spans="2:58">
      <c r="B59" s="35" t="s">
        <v>29</v>
      </c>
      <c r="C59" s="65"/>
      <c r="D59" s="76"/>
      <c r="E59" s="76"/>
      <c r="F59" s="66">
        <v>3.3</v>
      </c>
      <c r="G59" s="282"/>
      <c r="H59" s="76"/>
      <c r="I59" s="76"/>
      <c r="J59" s="66">
        <v>3</v>
      </c>
      <c r="K59" s="67"/>
      <c r="L59" s="194"/>
      <c r="M59" s="194"/>
      <c r="N59" s="68">
        <v>1</v>
      </c>
      <c r="P59" s="69"/>
    </row>
    <row r="60" spans="2:58">
      <c r="B60" s="36" t="s">
        <v>15</v>
      </c>
      <c r="C60" s="282"/>
      <c r="D60" s="76"/>
      <c r="E60" s="76">
        <v>8.7664670658682695</v>
      </c>
      <c r="F60" s="70">
        <f>[21]May_2022!$M$43</f>
        <v>3.4878406700073312</v>
      </c>
      <c r="G60" s="282"/>
      <c r="H60" s="76"/>
      <c r="I60" s="76">
        <v>10.607235567685406</v>
      </c>
      <c r="J60" s="66">
        <v>5.5</v>
      </c>
      <c r="K60" s="67"/>
      <c r="L60" s="194"/>
      <c r="M60" s="194">
        <v>0.66824561403508764</v>
      </c>
      <c r="N60" s="68">
        <v>1</v>
      </c>
      <c r="P60" s="69"/>
    </row>
    <row r="61" spans="2:58">
      <c r="B61" s="37" t="s">
        <v>16</v>
      </c>
      <c r="C61" s="65"/>
      <c r="D61" s="76">
        <v>3.0622243998040313</v>
      </c>
      <c r="E61" s="76">
        <v>2.5618217399039276</v>
      </c>
      <c r="F61" s="66">
        <v>3.3</v>
      </c>
      <c r="G61" s="282"/>
      <c r="H61" s="76">
        <v>4.90230047253743</v>
      </c>
      <c r="I61" s="76">
        <v>4.6996399261015078</v>
      </c>
      <c r="J61" s="66">
        <v>3.3</v>
      </c>
      <c r="K61" s="67"/>
      <c r="L61" s="194">
        <v>0.98924999999999996</v>
      </c>
      <c r="M61" s="194">
        <v>0.86251968503937015</v>
      </c>
      <c r="N61" s="71">
        <v>1</v>
      </c>
      <c r="P61" s="69"/>
    </row>
    <row r="62" spans="2:58" ht="14.4" thickBot="1">
      <c r="B62" s="38" t="s">
        <v>127</v>
      </c>
      <c r="C62" s="65"/>
      <c r="D62" s="76"/>
      <c r="E62" s="76"/>
      <c r="F62" s="66">
        <v>7.5</v>
      </c>
      <c r="G62" s="282"/>
      <c r="H62" s="76"/>
      <c r="I62" s="76"/>
      <c r="J62" s="66">
        <v>7.5</v>
      </c>
      <c r="K62" s="67"/>
      <c r="L62" s="194"/>
      <c r="M62" s="194"/>
      <c r="N62" s="71">
        <v>1</v>
      </c>
      <c r="P62" s="69"/>
    </row>
    <row r="63" spans="2:58" ht="14.4" thickBot="1">
      <c r="B63" s="437" t="s">
        <v>165</v>
      </c>
      <c r="C63" s="65"/>
      <c r="D63" s="76"/>
      <c r="E63" s="76">
        <v>4.8792508624938291</v>
      </c>
      <c r="F63" s="66">
        <v>4.8</v>
      </c>
      <c r="G63" s="282"/>
      <c r="H63" s="76"/>
      <c r="I63" s="76">
        <v>6.2003723782925313</v>
      </c>
      <c r="J63" s="66">
        <v>4.8</v>
      </c>
      <c r="K63" s="67"/>
      <c r="L63" s="194"/>
      <c r="M63" s="194">
        <v>0.33859649122807017</v>
      </c>
      <c r="N63" s="71">
        <v>1</v>
      </c>
      <c r="O63" s="74"/>
      <c r="P63" s="75"/>
    </row>
    <row r="64" spans="2:58">
      <c r="D64" s="76">
        <v>8.0920547945205445</v>
      </c>
      <c r="E64" s="76">
        <v>7.3289805084069908</v>
      </c>
      <c r="F64" s="341">
        <v>4.5</v>
      </c>
      <c r="H64" s="76">
        <v>9.3101906011406932</v>
      </c>
      <c r="I64" s="76">
        <v>8.2644567288367714</v>
      </c>
      <c r="J64" s="341">
        <v>4.5</v>
      </c>
      <c r="L64" s="194">
        <v>0.71467855815681891</v>
      </c>
      <c r="M64" s="194">
        <v>0.7430936101966743</v>
      </c>
      <c r="N64" s="386">
        <v>1</v>
      </c>
    </row>
    <row r="68" spans="6:30">
      <c r="F68" s="315"/>
    </row>
    <row r="76" spans="6:30">
      <c r="AD76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2:B41"/>
    <mergeCell ref="D32:E33"/>
    <mergeCell ref="J32:K32"/>
    <mergeCell ref="L33:N33"/>
    <mergeCell ref="D34:E35"/>
    <mergeCell ref="D36:E37"/>
    <mergeCell ref="D38:E39"/>
    <mergeCell ref="D40:E41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D42:E42"/>
    <mergeCell ref="B47:B48"/>
    <mergeCell ref="C47:C48"/>
    <mergeCell ref="D47:D48"/>
    <mergeCell ref="E47:E48"/>
    <mergeCell ref="M47:M48"/>
    <mergeCell ref="B53:F53"/>
    <mergeCell ref="G53:J53"/>
    <mergeCell ref="K53:N53"/>
    <mergeCell ref="G47:G48"/>
    <mergeCell ref="H47:H48"/>
    <mergeCell ref="I47:I48"/>
    <mergeCell ref="J47:J48"/>
    <mergeCell ref="K47:K48"/>
    <mergeCell ref="L47:L48"/>
    <mergeCell ref="F47:F48"/>
  </mergeCells>
  <conditionalFormatting sqref="B42:B43">
    <cfRule type="cellIs" dxfId="988" priority="113" operator="notBetween">
      <formula>#REF!</formula>
      <formula>#REF!</formula>
    </cfRule>
  </conditionalFormatting>
  <conditionalFormatting sqref="C46">
    <cfRule type="cellIs" dxfId="987" priority="145" stopIfTrue="1" operator="greaterThan">
      <formula>100</formula>
    </cfRule>
    <cfRule type="cellIs" dxfId="986" priority="144" stopIfTrue="1" operator="lessThan">
      <formula>96</formula>
    </cfRule>
  </conditionalFormatting>
  <conditionalFormatting sqref="C55">
    <cfRule type="cellIs" dxfId="985" priority="68" stopIfTrue="1" operator="greaterThan">
      <formula>$F55</formula>
    </cfRule>
  </conditionalFormatting>
  <conditionalFormatting sqref="C55:C56">
    <cfRule type="cellIs" dxfId="984" priority="69" stopIfTrue="1" operator="lessThanOrEqual">
      <formula>0</formula>
    </cfRule>
  </conditionalFormatting>
  <conditionalFormatting sqref="C56">
    <cfRule type="cellIs" dxfId="983" priority="148" stopIfTrue="1" operator="greaterThan">
      <formula>$F55</formula>
    </cfRule>
  </conditionalFormatting>
  <conditionalFormatting sqref="C57:C59">
    <cfRule type="cellIs" dxfId="982" priority="93" stopIfTrue="1" operator="greaterThan">
      <formula>$F57</formula>
    </cfRule>
  </conditionalFormatting>
  <conditionalFormatting sqref="C57:C60">
    <cfRule type="cellIs" dxfId="981" priority="97" stopIfTrue="1" operator="lessThanOrEqual">
      <formula>0</formula>
    </cfRule>
  </conditionalFormatting>
  <conditionalFormatting sqref="C60">
    <cfRule type="cellIs" dxfId="980" priority="96" stopIfTrue="1" operator="greaterThan">
      <formula>$J60</formula>
    </cfRule>
  </conditionalFormatting>
  <conditionalFormatting sqref="C66:C70">
    <cfRule type="cellIs" dxfId="979" priority="136" stopIfTrue="1" operator="lessThanOrEqual">
      <formula>0</formula>
    </cfRule>
  </conditionalFormatting>
  <conditionalFormatting sqref="C67:C70">
    <cfRule type="cellIs" dxfId="978" priority="135" stopIfTrue="1" operator="greaterThan">
      <formula>$F$66</formula>
    </cfRule>
  </conditionalFormatting>
  <conditionalFormatting sqref="C72">
    <cfRule type="cellIs" dxfId="977" priority="137" stopIfTrue="1" operator="greaterThan">
      <formula>$F$66</formula>
    </cfRule>
    <cfRule type="cellIs" dxfId="976" priority="138" stopIfTrue="1" operator="lessThanOrEqual">
      <formula>0</formula>
    </cfRule>
  </conditionalFormatting>
  <conditionalFormatting sqref="C66:D66 D68:D74">
    <cfRule type="cellIs" dxfId="975" priority="130" stopIfTrue="1" operator="greaterThan">
      <formula>4.5</formula>
    </cfRule>
  </conditionalFormatting>
  <conditionalFormatting sqref="D42:D43">
    <cfRule type="cellIs" dxfId="974" priority="114" operator="notBetween">
      <formula>#REF!</formula>
      <formula>#REF!</formula>
    </cfRule>
  </conditionalFormatting>
  <conditionalFormatting sqref="D55:D62">
    <cfRule type="cellIs" dxfId="973" priority="107" stopIfTrue="1" operator="lessThanOrEqual">
      <formula>0</formula>
    </cfRule>
  </conditionalFormatting>
  <conditionalFormatting sqref="D63">
    <cfRule type="cellIs" dxfId="972" priority="106" stopIfTrue="1" operator="lessThanOrEqual">
      <formula>0</formula>
    </cfRule>
  </conditionalFormatting>
  <conditionalFormatting sqref="D66 D68:D74">
    <cfRule type="cellIs" dxfId="971" priority="131" stopIfTrue="1" operator="lessThanOrEqual">
      <formula>0</formula>
    </cfRule>
  </conditionalFormatting>
  <conditionalFormatting sqref="D67">
    <cfRule type="cellIs" dxfId="970" priority="122" stopIfTrue="1" operator="greaterThan">
      <formula>$F$66</formula>
    </cfRule>
    <cfRule type="cellIs" dxfId="969" priority="123" stopIfTrue="1" operator="lessThanOrEqual">
      <formula>0</formula>
    </cfRule>
  </conditionalFormatting>
  <conditionalFormatting sqref="D55:E64">
    <cfRule type="cellIs" dxfId="968" priority="65" stopIfTrue="1" operator="greaterThan">
      <formula>$F55</formula>
    </cfRule>
  </conditionalFormatting>
  <conditionalFormatting sqref="D64:E64">
    <cfRule type="cellIs" dxfId="967" priority="66" stopIfTrue="1" operator="lessThanOrEqual">
      <formula>0</formula>
    </cfRule>
  </conditionalFormatting>
  <conditionalFormatting sqref="E10:E17">
    <cfRule type="cellIs" dxfId="966" priority="56" operator="lessThan">
      <formula>48</formula>
    </cfRule>
  </conditionalFormatting>
  <conditionalFormatting sqref="E46">
    <cfRule type="cellIs" dxfId="965" priority="124" stopIfTrue="1" operator="lessThan">
      <formula>96.8</formula>
    </cfRule>
    <cfRule type="cellIs" dxfId="964" priority="125" stopIfTrue="1" operator="greaterThan">
      <formula>100</formula>
    </cfRule>
  </conditionalFormatting>
  <conditionalFormatting sqref="E55:E63">
    <cfRule type="cellIs" dxfId="963" priority="101" stopIfTrue="1" operator="lessThanOrEqual">
      <formula>0</formula>
    </cfRule>
  </conditionalFormatting>
  <conditionalFormatting sqref="E66:E74">
    <cfRule type="cellIs" dxfId="962" priority="117" stopIfTrue="1" operator="lessThanOrEqual">
      <formula>0</formula>
    </cfRule>
    <cfRule type="cellIs" dxfId="961" priority="116" stopIfTrue="1" operator="greaterThan">
      <formula>4.5</formula>
    </cfRule>
  </conditionalFormatting>
  <conditionalFormatting sqref="E45:F46">
    <cfRule type="cellIs" dxfId="960" priority="126" stopIfTrue="1" operator="lessThan">
      <formula>96.5</formula>
    </cfRule>
    <cfRule type="cellIs" dxfId="959" priority="127" stopIfTrue="1" operator="greaterThan">
      <formula>100</formula>
    </cfRule>
  </conditionalFormatting>
  <conditionalFormatting sqref="F10:F16">
    <cfRule type="cellIs" dxfId="958" priority="58" operator="greaterThan">
      <formula>60</formula>
    </cfRule>
  </conditionalFormatting>
  <conditionalFormatting sqref="F17">
    <cfRule type="cellIs" dxfId="957" priority="152" operator="greaterThan">
      <formula>$AA52</formula>
    </cfRule>
    <cfRule type="cellIs" dxfId="956" priority="151" operator="greaterThan">
      <formula>$AA17</formula>
    </cfRule>
  </conditionalFormatting>
  <conditionalFormatting sqref="F46">
    <cfRule type="cellIs" dxfId="955" priority="142" stopIfTrue="1" operator="lessThan">
      <formula>96.8</formula>
    </cfRule>
    <cfRule type="cellIs" dxfId="954" priority="143" stopIfTrue="1" operator="greaterThan">
      <formula>100</formula>
    </cfRule>
  </conditionalFormatting>
  <conditionalFormatting sqref="F64">
    <cfRule type="cellIs" dxfId="953" priority="102" stopIfTrue="1" operator="greaterThan">
      <formula>$F64</formula>
    </cfRule>
    <cfRule type="cellIs" dxfId="952" priority="103" stopIfTrue="1" operator="lessThanOrEqual">
      <formula>0</formula>
    </cfRule>
  </conditionalFormatting>
  <conditionalFormatting sqref="G55:G56 C61:C63">
    <cfRule type="cellIs" dxfId="951" priority="108" stopIfTrue="1" operator="greaterThan">
      <formula>$F55</formula>
    </cfRule>
    <cfRule type="cellIs" dxfId="950" priority="109" stopIfTrue="1" operator="lessThanOrEqual">
      <formula>0</formula>
    </cfRule>
  </conditionalFormatting>
  <conditionalFormatting sqref="G55:G56">
    <cfRule type="cellIs" dxfId="949" priority="75" stopIfTrue="1" operator="lessThanOrEqual">
      <formula>0</formula>
    </cfRule>
    <cfRule type="cellIs" dxfId="948" priority="74" stopIfTrue="1" operator="greaterThan">
      <formula>$F55</formula>
    </cfRule>
  </conditionalFormatting>
  <conditionalFormatting sqref="G57">
    <cfRule type="cellIs" dxfId="947" priority="146" stopIfTrue="1" operator="greaterThan">
      <formula>$F56</formula>
    </cfRule>
    <cfRule type="cellIs" dxfId="946" priority="147" stopIfTrue="1" operator="lessThanOrEqual">
      <formula>0</formula>
    </cfRule>
  </conditionalFormatting>
  <conditionalFormatting sqref="G58">
    <cfRule type="cellIs" dxfId="945" priority="104" stopIfTrue="1" operator="greaterThan">
      <formula>$F58</formula>
    </cfRule>
    <cfRule type="cellIs" dxfId="944" priority="105" stopIfTrue="1" operator="lessThanOrEqual">
      <formula>0</formula>
    </cfRule>
  </conditionalFormatting>
  <conditionalFormatting sqref="G59:G63">
    <cfRule type="cellIs" dxfId="943" priority="111" stopIfTrue="1" operator="lessThanOrEqual">
      <formula>0</formula>
    </cfRule>
    <cfRule type="cellIs" dxfId="942" priority="110" stopIfTrue="1" operator="greaterThan">
      <formula>$J59</formula>
    </cfRule>
  </conditionalFormatting>
  <conditionalFormatting sqref="G68:G73 C71 C73">
    <cfRule type="cellIs" dxfId="941" priority="140" stopIfTrue="1" operator="lessThanOrEqual">
      <formula>0</formula>
    </cfRule>
    <cfRule type="cellIs" dxfId="940" priority="139" stopIfTrue="1" operator="greaterThan">
      <formula>4.5</formula>
    </cfRule>
  </conditionalFormatting>
  <conditionalFormatting sqref="G10:H17">
    <cfRule type="expression" dxfId="939" priority="12">
      <formula>IF(+(IF(G10&lt;#REF!,0,IF(G10&gt;#REF!,0,1)))=0,1)</formula>
    </cfRule>
  </conditionalFormatting>
  <conditionalFormatting sqref="G67:H67">
    <cfRule type="cellIs" dxfId="938" priority="121" stopIfTrue="1" operator="lessThanOrEqual">
      <formula>0</formula>
    </cfRule>
    <cfRule type="cellIs" dxfId="937" priority="120" stopIfTrue="1" operator="greaterThan">
      <formula>$F$66</formula>
    </cfRule>
  </conditionalFormatting>
  <conditionalFormatting sqref="H31:H44 G32:G43">
    <cfRule type="cellIs" dxfId="936" priority="118" stopIfTrue="1" operator="greaterThan">
      <formula>0</formula>
    </cfRule>
  </conditionalFormatting>
  <conditionalFormatting sqref="H49">
    <cfRule type="cellIs" dxfId="935" priority="28" stopIfTrue="1" operator="lessThanOrEqual">
      <formula>0</formula>
    </cfRule>
    <cfRule type="cellIs" dxfId="934" priority="37" stopIfTrue="1" operator="greaterThan">
      <formula>$F$33</formula>
    </cfRule>
    <cfRule type="cellIs" dxfId="933" priority="38" stopIfTrue="1" operator="lessThanOrEqual">
      <formula>0</formula>
    </cfRule>
    <cfRule type="cellIs" dxfId="932" priority="39" stopIfTrue="1" operator="greaterThan">
      <formula>$F$31</formula>
    </cfRule>
    <cfRule type="cellIs" dxfId="931" priority="40" stopIfTrue="1" operator="lessThanOrEqual">
      <formula>0</formula>
    </cfRule>
    <cfRule type="cellIs" dxfId="930" priority="29" stopIfTrue="1" operator="greaterThan">
      <formula>$F$30</formula>
    </cfRule>
  </conditionalFormatting>
  <conditionalFormatting sqref="H50">
    <cfRule type="cellIs" dxfId="929" priority="91" stopIfTrue="1" operator="greaterThan">
      <formula>$F$55</formula>
    </cfRule>
    <cfRule type="cellIs" dxfId="928" priority="80" stopIfTrue="1" operator="lessThanOrEqual">
      <formula>0</formula>
    </cfRule>
    <cfRule type="cellIs" dxfId="927" priority="89" stopIfTrue="1" operator="greaterThan">
      <formula>$F$57</formula>
    </cfRule>
    <cfRule type="cellIs" dxfId="926" priority="90" stopIfTrue="1" operator="lessThanOrEqual">
      <formula>0</formula>
    </cfRule>
    <cfRule type="cellIs" dxfId="925" priority="92" stopIfTrue="1" operator="lessThanOrEqual">
      <formula>0</formula>
    </cfRule>
    <cfRule type="cellIs" dxfId="924" priority="81" stopIfTrue="1" operator="greaterThan">
      <formula>$F$54</formula>
    </cfRule>
  </conditionalFormatting>
  <conditionalFormatting sqref="H51">
    <cfRule type="cellIs" dxfId="923" priority="14" stopIfTrue="1" operator="lessThanOrEqual">
      <formula>0</formula>
    </cfRule>
    <cfRule type="cellIs" dxfId="922" priority="15" stopIfTrue="1" operator="greaterThan">
      <formula>$F$30</formula>
    </cfRule>
    <cfRule type="cellIs" dxfId="921" priority="26" stopIfTrue="1" operator="lessThanOrEqual">
      <formula>0</formula>
    </cfRule>
    <cfRule type="cellIs" dxfId="920" priority="25" stopIfTrue="1" operator="greaterThan">
      <formula>$F$31</formula>
    </cfRule>
    <cfRule type="cellIs" dxfId="919" priority="23" stopIfTrue="1" operator="greaterThan">
      <formula>$F$33</formula>
    </cfRule>
    <cfRule type="cellIs" dxfId="918" priority="24" stopIfTrue="1" operator="lessThanOrEqual">
      <formula>0</formula>
    </cfRule>
  </conditionalFormatting>
  <conditionalFormatting sqref="H55:H62">
    <cfRule type="cellIs" dxfId="917" priority="94" stopIfTrue="1" operator="greaterThan">
      <formula>$J55</formula>
    </cfRule>
    <cfRule type="cellIs" dxfId="916" priority="95" stopIfTrue="1" operator="lessThanOrEqual">
      <formula>0</formula>
    </cfRule>
  </conditionalFormatting>
  <conditionalFormatting sqref="H63">
    <cfRule type="cellIs" dxfId="915" priority="98" operator="greaterThan">
      <formula>5.3</formula>
    </cfRule>
  </conditionalFormatting>
  <conditionalFormatting sqref="H66 H68:H74">
    <cfRule type="cellIs" dxfId="914" priority="132" stopIfTrue="1" operator="greaterThan">
      <formula>4.5</formula>
    </cfRule>
    <cfRule type="cellIs" dxfId="913" priority="133" stopIfTrue="1" operator="lessThanOrEqual">
      <formula>0</formula>
    </cfRule>
  </conditionalFormatting>
  <conditionalFormatting sqref="H49:I49">
    <cfRule type="cellIs" dxfId="912" priority="27" stopIfTrue="1" operator="greaterThan">
      <formula>$F$32</formula>
    </cfRule>
    <cfRule type="cellIs" dxfId="911" priority="30" stopIfTrue="1" operator="lessThanOrEqual">
      <formula>0</formula>
    </cfRule>
  </conditionalFormatting>
  <conditionalFormatting sqref="H50:I50">
    <cfRule type="cellIs" dxfId="910" priority="82" stopIfTrue="1" operator="lessThanOrEqual">
      <formula>0</formula>
    </cfRule>
    <cfRule type="cellIs" dxfId="909" priority="79" stopIfTrue="1" operator="greaterThan">
      <formula>$F$56</formula>
    </cfRule>
  </conditionalFormatting>
  <conditionalFormatting sqref="H51:I51">
    <cfRule type="cellIs" dxfId="908" priority="16" stopIfTrue="1" operator="lessThanOrEqual">
      <formula>0</formula>
    </cfRule>
    <cfRule type="cellIs" dxfId="907" priority="13" stopIfTrue="1" operator="greaterThan">
      <formula>$F$32</formula>
    </cfRule>
  </conditionalFormatting>
  <conditionalFormatting sqref="H64:I64">
    <cfRule type="cellIs" dxfId="906" priority="63" stopIfTrue="1" operator="greaterThan">
      <formula>$J64</formula>
    </cfRule>
    <cfRule type="cellIs" dxfId="905" priority="64" stopIfTrue="1" operator="lessThanOrEqual">
      <formula>0</formula>
    </cfRule>
  </conditionalFormatting>
  <conditionalFormatting sqref="I17">
    <cfRule type="cellIs" dxfId="904" priority="73" operator="lessThan">
      <formula>98</formula>
    </cfRule>
    <cfRule type="cellIs" dxfId="903" priority="70" operator="lessThan">
      <formula>97.8</formula>
    </cfRule>
  </conditionalFormatting>
  <conditionalFormatting sqref="I49">
    <cfRule type="cellIs" dxfId="902" priority="34" stopIfTrue="1" operator="lessThanOrEqual">
      <formula>0</formula>
    </cfRule>
    <cfRule type="cellIs" dxfId="901" priority="36" stopIfTrue="1" operator="lessThanOrEqual">
      <formula>0</formula>
    </cfRule>
    <cfRule type="cellIs" dxfId="900" priority="33" stopIfTrue="1" operator="greaterThan">
      <formula>$F$32</formula>
    </cfRule>
    <cfRule type="cellIs" dxfId="899" priority="35" stopIfTrue="1" operator="greaterThan">
      <formula>$F$30</formula>
    </cfRule>
    <cfRule type="cellIs" dxfId="898" priority="31" stopIfTrue="1" operator="greaterThan">
      <formula>$F$30</formula>
    </cfRule>
    <cfRule type="cellIs" dxfId="897" priority="32" stopIfTrue="1" operator="lessThanOrEqual">
      <formula>0</formula>
    </cfRule>
  </conditionalFormatting>
  <conditionalFormatting sqref="I50">
    <cfRule type="cellIs" dxfId="896" priority="83" stopIfTrue="1" operator="greaterThan">
      <formula>$F$54</formula>
    </cfRule>
    <cfRule type="cellIs" dxfId="895" priority="85" stopIfTrue="1" operator="greaterThan">
      <formula>$F$56</formula>
    </cfRule>
    <cfRule type="cellIs" dxfId="894" priority="86" stopIfTrue="1" operator="lessThanOrEqual">
      <formula>0</formula>
    </cfRule>
    <cfRule type="cellIs" dxfId="893" priority="87" stopIfTrue="1" operator="greaterThan">
      <formula>$F$54</formula>
    </cfRule>
    <cfRule type="cellIs" dxfId="892" priority="88" stopIfTrue="1" operator="lessThanOrEqual">
      <formula>0</formula>
    </cfRule>
    <cfRule type="cellIs" dxfId="891" priority="84" stopIfTrue="1" operator="lessThanOrEqual">
      <formula>0</formula>
    </cfRule>
  </conditionalFormatting>
  <conditionalFormatting sqref="I51">
    <cfRule type="cellIs" dxfId="890" priority="17" stopIfTrue="1" operator="greaterThan">
      <formula>$F$30</formula>
    </cfRule>
    <cfRule type="cellIs" dxfId="889" priority="18" stopIfTrue="1" operator="lessThanOrEqual">
      <formula>0</formula>
    </cfRule>
    <cfRule type="cellIs" dxfId="888" priority="19" stopIfTrue="1" operator="greaterThan">
      <formula>$F$32</formula>
    </cfRule>
    <cfRule type="cellIs" dxfId="887" priority="20" stopIfTrue="1" operator="lessThanOrEqual">
      <formula>0</formula>
    </cfRule>
    <cfRule type="cellIs" dxfId="886" priority="21" stopIfTrue="1" operator="greaterThan">
      <formula>$F$30</formula>
    </cfRule>
    <cfRule type="cellIs" dxfId="885" priority="22" stopIfTrue="1" operator="lessThanOrEqual">
      <formula>0</formula>
    </cfRule>
  </conditionalFormatting>
  <conditionalFormatting sqref="I55:I63">
    <cfRule type="cellIs" dxfId="884" priority="99" stopIfTrue="1" operator="greaterThan">
      <formula>$J55</formula>
    </cfRule>
    <cfRule type="cellIs" dxfId="883" priority="100" stopIfTrue="1" operator="lessThanOrEqual">
      <formula>0</formula>
    </cfRule>
  </conditionalFormatting>
  <conditionalFormatting sqref="I66:I74">
    <cfRule type="cellIs" dxfId="882" priority="129" stopIfTrue="1" operator="lessThanOrEqual">
      <formula>0</formula>
    </cfRule>
    <cfRule type="cellIs" dxfId="881" priority="128" stopIfTrue="1" operator="greaterThan">
      <formula>4.5</formula>
    </cfRule>
  </conditionalFormatting>
  <conditionalFormatting sqref="I10:J16">
    <cfRule type="cellIs" dxfId="880" priority="59" operator="lessThan">
      <formula>97.9</formula>
    </cfRule>
  </conditionalFormatting>
  <conditionalFormatting sqref="J17">
    <cfRule type="cellIs" dxfId="879" priority="72" operator="lessThan">
      <formula>97.4</formula>
    </cfRule>
    <cfRule type="cellIs" dxfId="878" priority="71" operator="notBetween">
      <formula>98</formula>
      <formula>99.9</formula>
    </cfRule>
  </conditionalFormatting>
  <conditionalFormatting sqref="J20:J22">
    <cfRule type="cellIs" dxfId="877" priority="43" stopIfTrue="1" operator="lessThan">
      <formula>96.8</formula>
    </cfRule>
    <cfRule type="cellIs" dxfId="876" priority="45" operator="lessThan">
      <formula>98</formula>
    </cfRule>
    <cfRule type="cellIs" dxfId="875" priority="44" stopIfTrue="1" operator="greaterThan">
      <formula>100</formula>
    </cfRule>
  </conditionalFormatting>
  <conditionalFormatting sqref="J20:J24">
    <cfRule type="cellIs" dxfId="874" priority="42" operator="lessThan">
      <formula>97.4</formula>
    </cfRule>
  </conditionalFormatting>
  <conditionalFormatting sqref="J25">
    <cfRule type="cellIs" dxfId="873" priority="46" operator="lessThan">
      <formula>98</formula>
    </cfRule>
  </conditionalFormatting>
  <conditionalFormatting sqref="J26:J28">
    <cfRule type="cellIs" dxfId="872" priority="48" stopIfTrue="1" operator="greaterThan">
      <formula>100</formula>
    </cfRule>
    <cfRule type="cellIs" dxfId="871" priority="47" stopIfTrue="1" operator="lessThan">
      <formula>96.8</formula>
    </cfRule>
  </conditionalFormatting>
  <conditionalFormatting sqref="J26:J29">
    <cfRule type="cellIs" dxfId="870" priority="49" operator="lessThan">
      <formula>98</formula>
    </cfRule>
  </conditionalFormatting>
  <conditionalFormatting sqref="J64">
    <cfRule type="cellIs" dxfId="869" priority="61" stopIfTrue="1" operator="lessThanOrEqual">
      <formula>0</formula>
    </cfRule>
    <cfRule type="cellIs" dxfId="868" priority="60" stopIfTrue="1" operator="greaterThan">
      <formula>$F64</formula>
    </cfRule>
  </conditionalFormatting>
  <conditionalFormatting sqref="K10:K17">
    <cfRule type="cellIs" dxfId="867" priority="52" operator="greaterThan">
      <formula>6</formula>
    </cfRule>
    <cfRule type="cellIs" dxfId="866" priority="53" operator="lessThan">
      <formula>4</formula>
    </cfRule>
    <cfRule type="cellIs" dxfId="865" priority="57" operator="greaterThan">
      <formula>6.4</formula>
    </cfRule>
  </conditionalFormatting>
  <conditionalFormatting sqref="K34:K43">
    <cfRule type="cellIs" dxfId="864" priority="41" operator="notEqual">
      <formula>#REF!</formula>
    </cfRule>
  </conditionalFormatting>
  <conditionalFormatting sqref="K49:K51 K55:N63">
    <cfRule type="cellIs" dxfId="863" priority="112" stopIfTrue="1" operator="lessThan">
      <formula>100%</formula>
    </cfRule>
  </conditionalFormatting>
  <conditionalFormatting sqref="K66:K71">
    <cfRule type="cellIs" dxfId="862" priority="134" stopIfTrue="1" operator="lessThan">
      <formula>100%</formula>
    </cfRule>
  </conditionalFormatting>
  <conditionalFormatting sqref="K73:K74">
    <cfRule type="cellIs" dxfId="861" priority="141" stopIfTrue="1" operator="lessThan">
      <formula>100%</formula>
    </cfRule>
  </conditionalFormatting>
  <conditionalFormatting sqref="L10:L17">
    <cfRule type="cellIs" dxfId="860" priority="55" operator="greaterThan">
      <formula>65</formula>
    </cfRule>
    <cfRule type="cellIs" dxfId="859" priority="54" operator="between">
      <formula>61</formula>
      <formula>65</formula>
    </cfRule>
  </conditionalFormatting>
  <conditionalFormatting sqref="L20:M31">
    <cfRule type="cellIs" dxfId="858" priority="67" operator="lessThan">
      <formula>98</formula>
    </cfRule>
  </conditionalFormatting>
  <conditionalFormatting sqref="L35:N35">
    <cfRule type="cellIs" dxfId="857" priority="76" operator="notEqual">
      <formula>#REF!</formula>
    </cfRule>
  </conditionalFormatting>
  <conditionalFormatting sqref="L64:N64">
    <cfRule type="cellIs" dxfId="856" priority="62" stopIfTrue="1" operator="lessThan">
      <formula>100%</formula>
    </cfRule>
  </conditionalFormatting>
  <conditionalFormatting sqref="L66:N74">
    <cfRule type="cellIs" dxfId="855" priority="119" stopIfTrue="1" operator="lessThan">
      <formula>100%</formula>
    </cfRule>
  </conditionalFormatting>
  <conditionalFormatting sqref="M10:M17">
    <cfRule type="expression" dxfId="854" priority="50">
      <formula>IF(+(IF(M10&lt;V10,0,IF(M10&gt;W10,0,1)))=0,1)</formula>
    </cfRule>
  </conditionalFormatting>
  <conditionalFormatting sqref="M6:N6">
    <cfRule type="cellIs" dxfId="853" priority="78" operator="greaterThanOrEqual">
      <formula>19</formula>
    </cfRule>
    <cfRule type="cellIs" dxfId="852" priority="77" operator="greaterThanOrEqual">
      <formula>15</formula>
    </cfRule>
  </conditionalFormatting>
  <conditionalFormatting sqref="N10:N17">
    <cfRule type="expression" dxfId="851" priority="51">
      <formula>IF(+(IF(N10&lt;X10,0,IF(N10&gt;Y10,0,1)))=0,1)</formula>
    </cfRule>
  </conditionalFormatting>
  <conditionalFormatting sqref="N17">
    <cfRule type="expression" dxfId="850" priority="149">
      <formula>IF(+(IF(N17&lt;X57,0,IF(N17&gt;Y57,0,1)))=0,1)</formula>
    </cfRule>
    <cfRule type="expression" dxfId="849" priority="150">
      <formula>IF(+(IF(N17&lt;X52,0,IF(N17&gt;Y52,0,1)))=0,1)</formula>
    </cfRule>
  </conditionalFormatting>
  <conditionalFormatting sqref="P6">
    <cfRule type="cellIs" dxfId="848" priority="115" operator="greaterThanOrEqual">
      <formula>19</formula>
    </cfRule>
  </conditionalFormatting>
  <dataValidations count="1">
    <dataValidation type="list" allowBlank="1" showInputMessage="1" showErrorMessage="1" sqref="S8 B17" xr:uid="{E7718480-0924-4F24-B900-2F2DDFA623A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68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3112-284B-477B-97DA-47B41A39C693}">
  <sheetPr>
    <pageSetUpPr fitToPage="1"/>
  </sheetPr>
  <dimension ref="A1:BF81"/>
  <sheetViews>
    <sheetView topLeftCell="A9" zoomScale="80" zoomScaleNormal="80" workbookViewId="0">
      <selection activeCell="B17" sqref="B17:O17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175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45741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177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3" t="s">
        <v>9</v>
      </c>
      <c r="C10" s="366" t="str">
        <f>[24]Brewhouse!$A129</f>
        <v>ST113</v>
      </c>
      <c r="D10" s="279">
        <f>[24]Brewhouse!$AD129</f>
        <v>53.5</v>
      </c>
      <c r="E10" s="279">
        <f>[24]Brewhouse!$AG129</f>
        <v>52.2</v>
      </c>
      <c r="F10" s="278">
        <f>[24]Brewhouse!$V129</f>
        <v>60</v>
      </c>
      <c r="G10" s="279">
        <f>[24]Brewhouse!$AE129</f>
        <v>11.9</v>
      </c>
      <c r="H10" s="396">
        <v>12</v>
      </c>
      <c r="I10" s="416">
        <f>[24]Brewhouse!$AS129</f>
        <v>103.23164333167807</v>
      </c>
      <c r="J10" s="416">
        <f>[24]Brewhouse!$AT129</f>
        <v>104.28960212655851</v>
      </c>
      <c r="K10" s="398">
        <f>[24]Brewhouse!$Q129</f>
        <v>6.355140186915885</v>
      </c>
      <c r="L10" s="276">
        <f>[24]Brewhouse!$P129</f>
        <v>58</v>
      </c>
      <c r="M10" s="374">
        <f>[24]Brewhouse!$U129-[24]Brewhouse!$T129</f>
        <v>0.11180555555555555</v>
      </c>
      <c r="N10" s="370">
        <f>[24]Brewhouse!$AW129</f>
        <v>0.25277777777777777</v>
      </c>
      <c r="O10" s="417" t="str">
        <f>[24]Brewhouse!$AV129</f>
        <v>R.Sookram</v>
      </c>
      <c r="P10" s="441"/>
      <c r="Q10" s="347"/>
      <c r="S10" s="277" t="str">
        <f t="shared" ref="S10:S18" si="0">B10</f>
        <v>STAG</v>
      </c>
      <c r="T10" s="296">
        <f t="shared" ref="T10:T18" si="1">VLOOKUP($B10,$S$3:$Y$9,2,FALSE)</f>
        <v>11.6</v>
      </c>
      <c r="U10" s="296">
        <f t="shared" ref="U10:U18" si="2">VLOOKUP($B10,$S$3:$Y$9,3,FALSE)</f>
        <v>12</v>
      </c>
      <c r="V10" s="297">
        <f t="shared" ref="V10:V18" si="3">VLOOKUP($B10,$S$3:$Y$9,4,FALSE)</f>
        <v>0</v>
      </c>
      <c r="W10" s="297">
        <f t="shared" ref="W10:W18" si="4">VLOOKUP($B10,$S$3:$Y$9,5,FALSE)</f>
        <v>0.118055555555556</v>
      </c>
      <c r="X10" s="297">
        <f t="shared" ref="X10:X18" si="5">VLOOKUP($B10,$S$3:$Y$9,6,FALSE)</f>
        <v>0.22569444444444445</v>
      </c>
      <c r="Y10" s="297">
        <f t="shared" ref="Y10:Y18" si="6">VLOOKUP($B10,$S$3:$Y$9,7,FALSE)</f>
        <v>0.2638888888888889</v>
      </c>
      <c r="Z10" s="297">
        <f t="shared" ref="Z10:Z18" si="7">VLOOKUP($B10,$S$3:$AA$9,8,FALSE)</f>
        <v>0</v>
      </c>
      <c r="AA10" s="296">
        <f t="shared" ref="AA10:AA18" si="8">VLOOKUP($B10,$S$3:$AA$9,9,FALSE)</f>
        <v>60</v>
      </c>
    </row>
    <row r="11" spans="2:30" ht="15.75" customHeight="1">
      <c r="B11" s="33" t="s">
        <v>9</v>
      </c>
      <c r="C11" s="366" t="str">
        <f>[24]Brewhouse!$A130</f>
        <v>ST114</v>
      </c>
      <c r="D11" s="279">
        <f>[24]Brewhouse!$AD130</f>
        <v>53.1</v>
      </c>
      <c r="E11" s="279">
        <f>[24]Brewhouse!$AG130</f>
        <v>49.7</v>
      </c>
      <c r="F11" s="278">
        <f>[24]Brewhouse!$V130</f>
        <v>62</v>
      </c>
      <c r="G11" s="279">
        <f>[24]Brewhouse!$AE130</f>
        <v>11.9</v>
      </c>
      <c r="H11" s="396">
        <v>11.9</v>
      </c>
      <c r="I11" s="416">
        <f>[24]Brewhouse!$AS130</f>
        <v>98.533330895870236</v>
      </c>
      <c r="J11" s="416">
        <f>[24]Brewhouse!$AT130</f>
        <v>99.542484072301647</v>
      </c>
      <c r="K11" s="398">
        <f>[24]Brewhouse!$Q130</f>
        <v>6.6543438077634036</v>
      </c>
      <c r="L11" s="276">
        <f>[24]Brewhouse!$P130</f>
        <v>61</v>
      </c>
      <c r="M11" s="374">
        <f>[24]Brewhouse!$U130-[24]Brewhouse!$T130</f>
        <v>0.125</v>
      </c>
      <c r="N11" s="370">
        <f>[24]Brewhouse!$AW130</f>
        <v>0.27500000000000002</v>
      </c>
      <c r="O11" s="417" t="str">
        <f>[24]Brewhouse!$AV130</f>
        <v>K. Benjamin</v>
      </c>
      <c r="P11" s="441"/>
      <c r="Q11" s="347"/>
      <c r="S11" s="277" t="str">
        <f t="shared" si="0"/>
        <v>STAG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33" t="s">
        <v>9</v>
      </c>
      <c r="C12" s="366" t="str">
        <f>[24]Brewhouse!$A131</f>
        <v>ST115</v>
      </c>
      <c r="D12" s="279">
        <f>[24]Brewhouse!$AD131</f>
        <v>53.2</v>
      </c>
      <c r="E12" s="279">
        <f>[24]Brewhouse!$AG131</f>
        <v>49.9</v>
      </c>
      <c r="F12" s="278">
        <f>[24]Brewhouse!$V131</f>
        <v>57</v>
      </c>
      <c r="G12" s="279">
        <f>[24]Brewhouse!$AE131</f>
        <v>11.8</v>
      </c>
      <c r="H12" s="396">
        <v>11.9</v>
      </c>
      <c r="I12" s="416">
        <f>[24]Brewhouse!$AS131</f>
        <v>98.055764357108799</v>
      </c>
      <c r="J12" s="416">
        <f>[24]Brewhouse!$AT131</f>
        <v>99.060026419181582</v>
      </c>
      <c r="K12" s="398">
        <f>[24]Brewhouse!$Q131</f>
        <v>6.204379562043794</v>
      </c>
      <c r="L12" s="276">
        <f>[24]Brewhouse!$P131</f>
        <v>61</v>
      </c>
      <c r="M12" s="374">
        <f>[24]Brewhouse!$U131-[24]Brewhouse!$T131</f>
        <v>0.12013888888888885</v>
      </c>
      <c r="N12" s="370">
        <f>[24]Brewhouse!$AW131</f>
        <v>0.24722222222222218</v>
      </c>
      <c r="O12" s="417" t="str">
        <f>[24]Brewhouse!$AV131</f>
        <v>K. Benjamin</v>
      </c>
      <c r="P12" s="441"/>
      <c r="Q12" s="347"/>
      <c r="S12" s="277" t="str">
        <f t="shared" si="0"/>
        <v>STAG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33" t="s">
        <v>9</v>
      </c>
      <c r="C13" s="366" t="str">
        <f>[24]Brewhouse!$A132</f>
        <v>ST116</v>
      </c>
      <c r="D13" s="279">
        <f>[24]Brewhouse!$AD132</f>
        <v>53.5</v>
      </c>
      <c r="E13" s="279">
        <f>[24]Brewhouse!$AG132</f>
        <v>50.3</v>
      </c>
      <c r="F13" s="278">
        <f>[24]Brewhouse!$V132</f>
        <v>58</v>
      </c>
      <c r="G13" s="279">
        <f>[24]Brewhouse!$AE132</f>
        <v>11.8</v>
      </c>
      <c r="H13" s="396">
        <v>11.9</v>
      </c>
      <c r="I13" s="416">
        <f>[24]Brewhouse!$AS132</f>
        <v>98.965495815775583</v>
      </c>
      <c r="J13" s="416">
        <f>[24]Brewhouse!$AT132</f>
        <v>99.978744719441565</v>
      </c>
      <c r="K13" s="398">
        <f>[24]Brewhouse!$Q132</f>
        <v>5.3505535055350526</v>
      </c>
      <c r="L13" s="276">
        <f>[24]Brewhouse!$P132</f>
        <v>62</v>
      </c>
      <c r="M13" s="374">
        <f>[24]Brewhouse!$U132-[24]Brewhouse!$T132</f>
        <v>0.10972222222222228</v>
      </c>
      <c r="N13" s="370">
        <f>[24]Brewhouse!$AW132</f>
        <v>0.23888888888888887</v>
      </c>
      <c r="O13" s="417" t="str">
        <f>[24]Brewhouse!$AV132</f>
        <v>K. Benjamin</v>
      </c>
      <c r="P13" s="441"/>
      <c r="Q13" s="347"/>
      <c r="S13" s="277" t="str">
        <f t="shared" si="0"/>
        <v>STAG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33" t="s">
        <v>9</v>
      </c>
      <c r="C14" s="366" t="str">
        <f>[24]Brewhouse!$A133</f>
        <v>ST117</v>
      </c>
      <c r="D14" s="279">
        <f>[24]Brewhouse!$AD133</f>
        <v>52.9</v>
      </c>
      <c r="E14" s="279">
        <f>[24]Brewhouse!$AG133</f>
        <v>49.5</v>
      </c>
      <c r="F14" s="278">
        <f>[24]Brewhouse!$V133</f>
        <v>61</v>
      </c>
      <c r="G14" s="279">
        <f>[24]Brewhouse!$AE133</f>
        <v>11.9</v>
      </c>
      <c r="H14" s="396">
        <v>11.9</v>
      </c>
      <c r="I14" s="416">
        <f>[24]Brewhouse!$AS133</f>
        <v>98.136818497898929</v>
      </c>
      <c r="J14" s="416">
        <f>[24]Brewhouse!$AT133</f>
        <v>99.141910695753126</v>
      </c>
      <c r="K14" s="398">
        <f>[24]Brewhouse!$Q133</f>
        <v>5.4545454545454541</v>
      </c>
      <c r="L14" s="276">
        <f>[24]Brewhouse!$P133</f>
        <v>60</v>
      </c>
      <c r="M14" s="374">
        <f>[24]Brewhouse!$U133-[24]Brewhouse!$T133</f>
        <v>0.10902777777777772</v>
      </c>
      <c r="N14" s="370">
        <f>[24]Brewhouse!$AW133</f>
        <v>0.24375000000000002</v>
      </c>
      <c r="O14" s="417" t="str">
        <f>[24]Brewhouse!$AV133</f>
        <v>R. Regis</v>
      </c>
      <c r="P14" s="441"/>
      <c r="Q14" s="347"/>
      <c r="S14" s="277" t="str">
        <f t="shared" si="0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33" t="s">
        <v>9</v>
      </c>
      <c r="C15" s="366" t="str">
        <f>[24]Brewhouse!$A134</f>
        <v>ST118</v>
      </c>
      <c r="D15" s="279">
        <f>[24]Brewhouse!$AD134</f>
        <v>54</v>
      </c>
      <c r="E15" s="279">
        <f>[24]Brewhouse!$AG134</f>
        <v>51</v>
      </c>
      <c r="F15" s="278">
        <f>[24]Brewhouse!$V134</f>
        <v>58</v>
      </c>
      <c r="G15" s="279">
        <f>[24]Brewhouse!$AE134</f>
        <v>11.8</v>
      </c>
      <c r="H15" s="396">
        <v>11.8</v>
      </c>
      <c r="I15" s="416">
        <f>[24]Brewhouse!$AS134</f>
        <v>99.594814290107152</v>
      </c>
      <c r="J15" s="416">
        <f>[24]Brewhouse!$AT134</f>
        <v>100.61648903035018</v>
      </c>
      <c r="K15" s="398">
        <f>[24]Brewhouse!$Q134</f>
        <v>5.4744525547445129</v>
      </c>
      <c r="L15" s="276">
        <f>[24]Brewhouse!$P134</f>
        <v>61</v>
      </c>
      <c r="M15" s="374">
        <f>[24]Brewhouse!$U134-[24]Brewhouse!$T134</f>
        <v>0.11180555555555549</v>
      </c>
      <c r="N15" s="370">
        <f>[24]Brewhouse!$AW134</f>
        <v>0.24930555555555556</v>
      </c>
      <c r="O15" s="417" t="str">
        <f>[24]Brewhouse!$AV134</f>
        <v>R. Regis</v>
      </c>
      <c r="P15" s="441"/>
      <c r="Q15" s="347"/>
      <c r="S15" s="277" t="str">
        <f t="shared" si="0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33" t="s">
        <v>9</v>
      </c>
      <c r="C16" s="366" t="str">
        <f>[24]Brewhouse!$A135</f>
        <v>ST119</v>
      </c>
      <c r="D16" s="279">
        <f>[24]Brewhouse!$AD135</f>
        <v>53.6</v>
      </c>
      <c r="E16" s="279">
        <f>[24]Brewhouse!$AG135</f>
        <v>50.5</v>
      </c>
      <c r="F16" s="278">
        <f>[24]Brewhouse!$V135</f>
        <v>62</v>
      </c>
      <c r="G16" s="279">
        <f>[24]Brewhouse!$AE135</f>
        <v>11.7</v>
      </c>
      <c r="H16" s="367"/>
      <c r="I16" s="416">
        <f>[24]Brewhouse!$AS135</f>
        <v>98.47330071154957</v>
      </c>
      <c r="J16" s="416">
        <f>[24]Brewhouse!$AT135</f>
        <v>99.481510322019105</v>
      </c>
      <c r="K16" s="398">
        <f>[24]Brewhouse!$Q135</f>
        <v>4.9541284403669641</v>
      </c>
      <c r="L16" s="276">
        <f>[24]Brewhouse!$P135</f>
        <v>60</v>
      </c>
      <c r="M16" s="374">
        <f>[24]Brewhouse!$U135-[24]Brewhouse!$T135</f>
        <v>0.10972222222222228</v>
      </c>
      <c r="N16" s="370">
        <f>[24]Brewhouse!$AW135</f>
        <v>0.24444444444444446</v>
      </c>
      <c r="O16" s="417" t="str">
        <f>[24]Brewhouse!$AV135</f>
        <v>R. Regis</v>
      </c>
      <c r="P16" s="441"/>
      <c r="Q16" s="347"/>
      <c r="S16" s="277" t="str">
        <f t="shared" si="0"/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33" t="s">
        <v>9</v>
      </c>
      <c r="C17" s="366" t="str">
        <f>[24]Brewhouse!$A136</f>
        <v>ST120</v>
      </c>
      <c r="D17" s="279">
        <f>[24]Brewhouse!$AD136</f>
        <v>55.3</v>
      </c>
      <c r="E17" s="279">
        <f>[24]Brewhouse!$AG136</f>
        <v>52.2</v>
      </c>
      <c r="F17" s="278">
        <f>[24]Brewhouse!$V136</f>
        <v>64</v>
      </c>
      <c r="G17" s="279">
        <f>[24]Brewhouse!$AE136</f>
        <v>11.9</v>
      </c>
      <c r="H17" s="367"/>
      <c r="I17" s="416">
        <f>[24]Brewhouse!$AS136</f>
        <v>103.36052848626758</v>
      </c>
      <c r="J17" s="416">
        <f>[24]Brewhouse!$AT136</f>
        <v>104.4194647946904</v>
      </c>
      <c r="K17" s="398">
        <f>[24]Brewhouse!$Q136</f>
        <v>4.5703839122486292</v>
      </c>
      <c r="L17" s="276">
        <f>[24]Brewhouse!$P136</f>
        <v>57</v>
      </c>
      <c r="M17" s="374">
        <f>[24]Brewhouse!$U136-[24]Brewhouse!$T136</f>
        <v>0.10902777777777795</v>
      </c>
      <c r="N17" s="370">
        <f>[24]Brewhouse!$AW136</f>
        <v>0.24027777777777792</v>
      </c>
      <c r="O17" s="417" t="str">
        <f>[24]Brewhouse!$AV136</f>
        <v>R.Sookram</v>
      </c>
      <c r="P17" s="441"/>
      <c r="Q17" s="347"/>
      <c r="S17" s="277" t="str">
        <f t="shared" si="0"/>
        <v>STAG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416"/>
      <c r="J18" s="416"/>
      <c r="K18" s="398"/>
      <c r="L18" s="276"/>
      <c r="M18" s="374"/>
      <c r="N18" s="370"/>
      <c r="O18" s="417"/>
      <c r="P18" s="441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1"/>
      <c r="Q19" s="347"/>
      <c r="S19" s="277">
        <f t="shared" ref="S19:S24" si="9">B19</f>
        <v>0</v>
      </c>
      <c r="T19" s="296" t="e">
        <f t="shared" ref="T19:T24" si="10">VLOOKUP($B19,$S$3:$Y$9,2,FALSE)</f>
        <v>#N/A</v>
      </c>
      <c r="U19" s="296" t="e">
        <f t="shared" ref="U19:U24" si="11">VLOOKUP($B19,$S$3:$Y$9,3,FALSE)</f>
        <v>#N/A</v>
      </c>
      <c r="V19" s="297" t="e">
        <f t="shared" ref="V19:V24" si="12">VLOOKUP($B19,$S$3:$Y$9,4,FALSE)</f>
        <v>#N/A</v>
      </c>
      <c r="W19" s="297" t="e">
        <f t="shared" ref="W19:W24" si="13">VLOOKUP($B19,$S$3:$Y$9,5,FALSE)</f>
        <v>#N/A</v>
      </c>
      <c r="X19" s="297" t="e">
        <f t="shared" ref="X19:X24" si="14">VLOOKUP($B19,$S$3:$Y$9,6,FALSE)</f>
        <v>#N/A</v>
      </c>
      <c r="Y19" s="297" t="e">
        <f t="shared" ref="Y19:Y24" si="15">VLOOKUP($B19,$S$3:$Y$9,7,FALSE)</f>
        <v>#N/A</v>
      </c>
      <c r="Z19" s="297" t="e">
        <f t="shared" ref="Z19:Z24" si="16">VLOOKUP($B19,$S$3:$AA$9,8,FALSE)</f>
        <v>#N/A</v>
      </c>
      <c r="AA19" s="296" t="e">
        <f t="shared" ref="AA19:AA24" si="17">VLOOKUP($B19,$S$3:$AA$9,9,FALSE)</f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9"/>
        <v>0</v>
      </c>
      <c r="T20" s="296" t="e">
        <f t="shared" si="10"/>
        <v>#N/A</v>
      </c>
      <c r="U20" s="296" t="e">
        <f t="shared" si="11"/>
        <v>#N/A</v>
      </c>
      <c r="V20" s="297" t="e">
        <f t="shared" si="12"/>
        <v>#N/A</v>
      </c>
      <c r="W20" s="297" t="e">
        <f t="shared" si="13"/>
        <v>#N/A</v>
      </c>
      <c r="X20" s="297" t="e">
        <f t="shared" si="14"/>
        <v>#N/A</v>
      </c>
      <c r="Y20" s="297" t="e">
        <f t="shared" si="15"/>
        <v>#N/A</v>
      </c>
      <c r="Z20" s="297" t="e">
        <f t="shared" si="16"/>
        <v>#N/A</v>
      </c>
      <c r="AA20" s="296" t="e">
        <f t="shared" si="17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9"/>
        <v>0</v>
      </c>
      <c r="T21" s="296" t="e">
        <f t="shared" si="10"/>
        <v>#N/A</v>
      </c>
      <c r="U21" s="296" t="e">
        <f t="shared" si="11"/>
        <v>#N/A</v>
      </c>
      <c r="V21" s="297" t="e">
        <f t="shared" si="12"/>
        <v>#N/A</v>
      </c>
      <c r="W21" s="297" t="e">
        <f t="shared" si="13"/>
        <v>#N/A</v>
      </c>
      <c r="X21" s="297" t="e">
        <f t="shared" si="14"/>
        <v>#N/A</v>
      </c>
      <c r="Y21" s="297" t="e">
        <f t="shared" si="15"/>
        <v>#N/A</v>
      </c>
      <c r="Z21" s="297" t="e">
        <f t="shared" si="16"/>
        <v>#N/A</v>
      </c>
      <c r="AA21" s="296" t="e">
        <f t="shared" si="17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9"/>
        <v>0</v>
      </c>
      <c r="T22" s="296" t="e">
        <f t="shared" si="10"/>
        <v>#N/A</v>
      </c>
      <c r="U22" s="296" t="e">
        <f t="shared" si="11"/>
        <v>#N/A</v>
      </c>
      <c r="V22" s="297" t="e">
        <f t="shared" si="12"/>
        <v>#N/A</v>
      </c>
      <c r="W22" s="297" t="e">
        <f t="shared" si="13"/>
        <v>#N/A</v>
      </c>
      <c r="X22" s="297" t="e">
        <f t="shared" si="14"/>
        <v>#N/A</v>
      </c>
      <c r="Y22" s="297" t="e">
        <f t="shared" si="15"/>
        <v>#N/A</v>
      </c>
      <c r="Z22" s="297" t="e">
        <f t="shared" si="16"/>
        <v>#N/A</v>
      </c>
      <c r="AA22" s="296" t="e">
        <f t="shared" si="1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9"/>
        <v>0</v>
      </c>
      <c r="T23" s="296" t="e">
        <f t="shared" si="10"/>
        <v>#N/A</v>
      </c>
      <c r="U23" s="296" t="e">
        <f t="shared" si="11"/>
        <v>#N/A</v>
      </c>
      <c r="V23" s="297" t="e">
        <f t="shared" si="12"/>
        <v>#N/A</v>
      </c>
      <c r="W23" s="297" t="e">
        <f t="shared" si="13"/>
        <v>#N/A</v>
      </c>
      <c r="X23" s="297" t="e">
        <f t="shared" si="14"/>
        <v>#N/A</v>
      </c>
      <c r="Y23" s="297" t="e">
        <f t="shared" si="15"/>
        <v>#N/A</v>
      </c>
      <c r="Z23" s="297" t="e">
        <f t="shared" si="16"/>
        <v>#N/A</v>
      </c>
      <c r="AA23" s="296" t="e">
        <f t="shared" si="17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9"/>
        <v>BRAND</v>
      </c>
      <c r="T24" s="296" t="e">
        <f t="shared" si="10"/>
        <v>#N/A</v>
      </c>
      <c r="U24" s="296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7" t="e">
        <f t="shared" si="16"/>
        <v>#N/A</v>
      </c>
      <c r="AA24" s="296" t="e">
        <f t="shared" si="17"/>
        <v>#N/A</v>
      </c>
    </row>
    <row r="25" spans="1:27" ht="15" customHeight="1">
      <c r="A25" s="28"/>
      <c r="B25" s="535"/>
      <c r="C25" s="362"/>
      <c r="D25" s="485"/>
      <c r="E25" s="486"/>
      <c r="F25" s="294"/>
      <c r="G25" s="294"/>
      <c r="H25" s="348"/>
      <c r="I25" s="29" t="s">
        <v>6</v>
      </c>
      <c r="J25" s="280"/>
      <c r="K25" s="284">
        <f>COUNTA([23]Brewhouse!$A$255:$A$319)</f>
        <v>65</v>
      </c>
      <c r="L25" s="302">
        <f>AVERAGE([23]Brewhouse!$AU$255:$AU319)</f>
        <v>99.143313415563568</v>
      </c>
      <c r="M25" s="302">
        <f>AVERAGE([23]Brewhouse!$AU$102:$AU$171,[23]Brewhouse!$AU$173:$AU$253,[23]Brewhouse!$AU$255:$AU$319)</f>
        <v>96.67120845018097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3"/>
      <c r="C26" s="349"/>
      <c r="D26" s="487"/>
      <c r="E26" s="488"/>
      <c r="F26" s="294"/>
      <c r="G26" s="294"/>
      <c r="H26" s="348"/>
      <c r="I26" s="33" t="s">
        <v>9</v>
      </c>
      <c r="J26" s="280">
        <f>AVERAGE(I10:I17)</f>
        <v>99.793962048281969</v>
      </c>
      <c r="K26" s="284">
        <f>COUNTA([24]Brewhouse!$A$105:$A$136)</f>
        <v>32</v>
      </c>
      <c r="L26" s="302">
        <f>AVERAGE([24]Brewhouse!$AS$105:$AS$136)</f>
        <v>98.98059636856776</v>
      </c>
      <c r="M26" s="302">
        <f>AVERAGE([24]Brewhouse!$AS$15:$AS$64,[24]Brewhouse!$AS$66:$AS$103,[24]Brewhouse!$AS$105:$AS$136)</f>
        <v>96.712617129111081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3"/>
      <c r="C27" s="349"/>
      <c r="D27" s="485"/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/>
      <c r="D28" s="487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AVERAGE([26]Brewhouse!$AV$5:$AV$14,[26]Brewhouse!$AV$16:$AV$19)</f>
        <v>98.230957815544443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3"/>
      <c r="C29" s="349"/>
      <c r="D29" s="485"/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3"/>
      <c r="C30" s="349"/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/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3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3"/>
      <c r="C35" s="349"/>
      <c r="D35" s="485"/>
      <c r="E35" s="486"/>
      <c r="F35" s="294"/>
      <c r="G35" s="294"/>
      <c r="H35" s="348"/>
      <c r="I35" s="1"/>
      <c r="J35" s="39"/>
      <c r="K35" s="408">
        <f>SUM(K25:K34)</f>
        <v>113</v>
      </c>
      <c r="L35" s="409">
        <f>((L25*K25)+(L26*K26)+(L27*K27)+(L28*K28)+(L29*K29)+(K32*L32)+(L30*K30)+(L31*K31)+(L34*K34))/(K35)</f>
        <v>98.953714546854755</v>
      </c>
      <c r="M35" s="409">
        <f>AVERAGE('[29]Jan 31st'!$L$65,'[30]Feb 28th'!$L$35,L35)</f>
        <v>96.798896991417919</v>
      </c>
      <c r="N35" s="40">
        <v>98</v>
      </c>
      <c r="O35" s="11"/>
      <c r="P35" s="31"/>
      <c r="S35" s="23"/>
    </row>
    <row r="36" spans="1:57" ht="15" thickBot="1">
      <c r="B36" s="534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32"/>
      <c r="C37" s="362"/>
      <c r="D37" s="498"/>
      <c r="E37" s="499"/>
      <c r="F37" s="43"/>
      <c r="G37" s="41"/>
      <c r="H37" s="41"/>
      <c r="I37" s="42"/>
      <c r="J37" s="501" t="s">
        <v>129</v>
      </c>
      <c r="K37" s="501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533"/>
      <c r="C38" s="349"/>
      <c r="D38" s="500"/>
      <c r="E38" s="488"/>
      <c r="F38" s="43"/>
      <c r="G38" s="41"/>
      <c r="H38" s="41"/>
      <c r="I38" s="42"/>
      <c r="J38" s="418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533"/>
      <c r="C39" s="349"/>
      <c r="D39" s="504"/>
      <c r="E39" s="486"/>
      <c r="F39" s="43"/>
      <c r="G39" s="41"/>
      <c r="H39" s="41"/>
      <c r="I39" s="42"/>
      <c r="J39" s="419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533"/>
      <c r="C40" s="349"/>
      <c r="D40" s="500"/>
      <c r="E40" s="488"/>
      <c r="F40" s="43"/>
      <c r="G40" s="41"/>
      <c r="H40" s="41"/>
      <c r="I40" s="42"/>
      <c r="J40" s="420" t="s">
        <v>9</v>
      </c>
      <c r="K40" s="324">
        <f>COUNTA(B10:B17)</f>
        <v>8</v>
      </c>
      <c r="L40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20th'!K49,'Mar. 21th'!K44,'Mar. 24th'!K49)</f>
        <v>6.2222222222222223</v>
      </c>
      <c r="M40" s="325">
        <f>AVERAGE('[29]Jan 29th '!$M$70,'[30]Feb 28th'!$L$40,L40)</f>
        <v>6.5777370777370772</v>
      </c>
      <c r="N40" s="400">
        <v>10</v>
      </c>
      <c r="O40" s="294"/>
      <c r="P40" s="12"/>
      <c r="S40" s="23"/>
    </row>
    <row r="41" spans="1:57" ht="15" customHeight="1">
      <c r="B41" s="533"/>
      <c r="C41" s="349"/>
      <c r="D41" s="504"/>
      <c r="E41" s="486"/>
      <c r="F41" s="43"/>
      <c r="G41" s="41"/>
      <c r="H41" s="41"/>
      <c r="I41" s="42"/>
      <c r="J41" s="421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533"/>
      <c r="C42" s="349"/>
      <c r="D42" s="500"/>
      <c r="E42" s="488"/>
      <c r="F42" s="43"/>
      <c r="G42" s="41"/>
      <c r="H42" s="41"/>
      <c r="I42" s="42"/>
      <c r="J42" s="422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533"/>
      <c r="C43" s="349"/>
      <c r="D43" s="504"/>
      <c r="E43" s="486"/>
      <c r="F43" s="43"/>
      <c r="G43" s="41"/>
      <c r="H43" s="41"/>
      <c r="I43" s="42"/>
      <c r="J43" s="423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33"/>
      <c r="C44" s="349"/>
      <c r="D44" s="500"/>
      <c r="E44" s="488"/>
      <c r="F44" s="43"/>
      <c r="G44" s="41"/>
      <c r="H44" s="41"/>
      <c r="I44" s="42"/>
      <c r="J44" s="424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33"/>
      <c r="C45" s="349"/>
      <c r="D45" s="505"/>
      <c r="E45" s="490"/>
      <c r="F45" s="43"/>
      <c r="G45" s="41"/>
      <c r="H45" s="41"/>
      <c r="I45" s="42"/>
      <c r="J45" s="424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34"/>
      <c r="C46" s="350"/>
      <c r="D46" s="506"/>
      <c r="E46" s="507"/>
      <c r="F46" s="43"/>
      <c r="G46" s="41"/>
      <c r="H46" s="41"/>
      <c r="I46" s="42"/>
      <c r="J46" s="424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 t="e">
        <f>AVERAGE(D25:E46)</f>
        <v>#DIV/0!</v>
      </c>
      <c r="E47" s="509"/>
      <c r="F47" s="43"/>
      <c r="G47" s="41"/>
      <c r="H47" s="41"/>
      <c r="I47" s="42"/>
      <c r="J47" s="42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42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42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 thickBot="1">
      <c r="B54" s="430"/>
      <c r="C54" s="283"/>
      <c r="D54" s="377"/>
      <c r="E54" s="378"/>
      <c r="F54" s="379"/>
      <c r="G54" s="303"/>
      <c r="H54" s="320"/>
      <c r="I54" s="322"/>
      <c r="J54" s="432"/>
      <c r="K54" s="433"/>
      <c r="L54" s="314"/>
      <c r="M54" s="357"/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1.2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4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ht="58.5" hidden="1" customHeight="1" thickBot="1">
      <c r="B56" s="430"/>
      <c r="C56" s="283"/>
      <c r="D56" s="279"/>
      <c r="E56" s="279"/>
      <c r="F56" s="279"/>
      <c r="G56" s="279"/>
      <c r="H56" s="320"/>
      <c r="I56" s="322"/>
      <c r="J56" s="390"/>
      <c r="K56" s="52"/>
      <c r="L56" s="53"/>
      <c r="M56" s="55"/>
      <c r="N56" s="77"/>
      <c r="O56" s="13"/>
      <c r="P56" s="56"/>
    </row>
    <row r="57" spans="2:58" ht="18" customHeight="1" thickBot="1">
      <c r="B57" s="58"/>
      <c r="C57" s="309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56"/>
      <c r="P57" s="60"/>
    </row>
    <row r="58" spans="2:58" ht="14.4" thickBot="1">
      <c r="B58" s="517" t="s">
        <v>55</v>
      </c>
      <c r="C58" s="518"/>
      <c r="D58" s="518"/>
      <c r="E58" s="518"/>
      <c r="F58" s="519"/>
      <c r="G58" s="517" t="s">
        <v>56</v>
      </c>
      <c r="H58" s="518"/>
      <c r="I58" s="518"/>
      <c r="J58" s="519"/>
      <c r="K58" s="517" t="s">
        <v>51</v>
      </c>
      <c r="L58" s="518"/>
      <c r="M58" s="518"/>
      <c r="N58" s="520"/>
      <c r="O58" s="56"/>
      <c r="P58" s="50"/>
    </row>
    <row r="59" spans="2:58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8">
      <c r="B60" s="29" t="s">
        <v>6</v>
      </c>
      <c r="C60" s="65"/>
      <c r="D60" s="76">
        <v>7.5568323757182281</v>
      </c>
      <c r="E60" s="76">
        <v>7.1360483511134793</v>
      </c>
      <c r="F60" s="66">
        <v>4.8</v>
      </c>
      <c r="G60" s="65"/>
      <c r="H60" s="76">
        <v>8.3191937458465706</v>
      </c>
      <c r="I60" s="76">
        <v>7.6630494071612238</v>
      </c>
      <c r="J60" s="66">
        <v>4.8</v>
      </c>
      <c r="K60" s="67"/>
      <c r="L60" s="194">
        <v>0.68133003917262536</v>
      </c>
      <c r="M60" s="194">
        <v>0.7992205435441766</v>
      </c>
      <c r="N60" s="68">
        <v>1</v>
      </c>
      <c r="O60" s="56"/>
      <c r="P60" s="69"/>
    </row>
    <row r="61" spans="2:58">
      <c r="B61" s="33" t="s">
        <v>9</v>
      </c>
      <c r="C61" s="65"/>
      <c r="D61" s="76">
        <v>9.73884657236127</v>
      </c>
      <c r="E61" s="76">
        <v>7.4680324642079716</v>
      </c>
      <c r="F61" s="66">
        <v>4.8</v>
      </c>
      <c r="G61" s="65"/>
      <c r="H61" s="76">
        <v>10.879264566455817</v>
      </c>
      <c r="I61" s="76">
        <v>7.8194841177455441</v>
      </c>
      <c r="J61" s="66">
        <v>4.8</v>
      </c>
      <c r="K61" s="67"/>
      <c r="L61" s="194">
        <v>0.78156534650638188</v>
      </c>
      <c r="M61" s="194">
        <v>0.72492426607121629</v>
      </c>
      <c r="N61" s="68">
        <v>1</v>
      </c>
      <c r="P61" s="69"/>
    </row>
    <row r="62" spans="2:58">
      <c r="B62" s="34" t="s">
        <v>40</v>
      </c>
      <c r="C62" s="65"/>
      <c r="D62" s="76">
        <v>10.435585654917661</v>
      </c>
      <c r="E62" s="76">
        <v>12.471734214646009</v>
      </c>
      <c r="F62" s="66">
        <v>5.5</v>
      </c>
      <c r="G62" s="65"/>
      <c r="H62" s="76">
        <v>12.668687929841122</v>
      </c>
      <c r="I62" s="76">
        <v>14.436247754556394</v>
      </c>
      <c r="J62" s="66">
        <v>5.5</v>
      </c>
      <c r="K62" s="67"/>
      <c r="L62" s="194">
        <v>0.54249999999999998</v>
      </c>
      <c r="M62" s="194">
        <v>0.52401498127340829</v>
      </c>
      <c r="N62" s="68">
        <v>1</v>
      </c>
      <c r="P62" s="69"/>
    </row>
    <row r="63" spans="2:58">
      <c r="B63" s="22" t="s">
        <v>33</v>
      </c>
      <c r="C63" s="65"/>
      <c r="D63" s="76"/>
      <c r="E63" s="76">
        <v>3.9190537266638161</v>
      </c>
      <c r="F63" s="66">
        <v>3.3</v>
      </c>
      <c r="G63" s="65"/>
      <c r="H63" s="76"/>
      <c r="I63" s="76">
        <v>5.345661717473071</v>
      </c>
      <c r="J63" s="66">
        <v>3.3</v>
      </c>
      <c r="K63" s="67"/>
      <c r="L63" s="194"/>
      <c r="M63" s="194">
        <v>0.78853801169590654</v>
      </c>
      <c r="N63" s="68">
        <v>1</v>
      </c>
      <c r="P63" s="69"/>
    </row>
    <row r="64" spans="2:58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8.7664670658682695</v>
      </c>
      <c r="F65" s="70">
        <f>[21]May_2022!$M$43</f>
        <v>3.4878406700073312</v>
      </c>
      <c r="G65" s="282"/>
      <c r="H65" s="76"/>
      <c r="I65" s="76">
        <v>10.607235567685406</v>
      </c>
      <c r="J65" s="66">
        <v>5.5</v>
      </c>
      <c r="K65" s="67"/>
      <c r="L65" s="194"/>
      <c r="M65" s="194">
        <v>0.66824561403508764</v>
      </c>
      <c r="N65" s="68">
        <v>1</v>
      </c>
      <c r="P65" s="69"/>
    </row>
    <row r="66" spans="2:16">
      <c r="B66" s="37" t="s">
        <v>16</v>
      </c>
      <c r="C66" s="65"/>
      <c r="D66" s="76">
        <v>3.0622243998040313</v>
      </c>
      <c r="E66" s="76">
        <v>2.5618217399039276</v>
      </c>
      <c r="F66" s="66">
        <v>3.3</v>
      </c>
      <c r="G66" s="282"/>
      <c r="H66" s="76">
        <v>4.90230047253743</v>
      </c>
      <c r="I66" s="76">
        <v>4.6996399261015078</v>
      </c>
      <c r="J66" s="66">
        <v>3.3</v>
      </c>
      <c r="K66" s="67"/>
      <c r="L66" s="194">
        <v>0.98924999999999996</v>
      </c>
      <c r="M66" s="194">
        <v>0.86251968503937015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37" t="s">
        <v>165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8.0920547945205445</v>
      </c>
      <c r="E69" s="76">
        <v>7.3289805084069908</v>
      </c>
      <c r="F69" s="341">
        <v>4.5</v>
      </c>
      <c r="H69" s="76">
        <v>9.3101906011406932</v>
      </c>
      <c r="I69" s="76">
        <v>8.2644567288367714</v>
      </c>
      <c r="J69" s="341">
        <v>4.5</v>
      </c>
      <c r="L69" s="194">
        <v>0.71467855815681891</v>
      </c>
      <c r="M69" s="194">
        <v>0.7430936101966743</v>
      </c>
      <c r="N69" s="386">
        <v>1</v>
      </c>
    </row>
    <row r="73" spans="2:16">
      <c r="F73" s="315"/>
    </row>
    <row r="81" spans="30:30">
      <c r="AD81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D47:E47"/>
    <mergeCell ref="B52:B53"/>
    <mergeCell ref="C52:C53"/>
    <mergeCell ref="D52:D53"/>
    <mergeCell ref="E52:E53"/>
    <mergeCell ref="M52:M53"/>
    <mergeCell ref="B58:F58"/>
    <mergeCell ref="G58:J58"/>
    <mergeCell ref="K58:N58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847" priority="113" operator="notBetween">
      <formula>#REF!</formula>
      <formula>#REF!</formula>
    </cfRule>
  </conditionalFormatting>
  <conditionalFormatting sqref="C51">
    <cfRule type="cellIs" dxfId="846" priority="145" stopIfTrue="1" operator="greaterThan">
      <formula>100</formula>
    </cfRule>
    <cfRule type="cellIs" dxfId="845" priority="144" stopIfTrue="1" operator="lessThan">
      <formula>96</formula>
    </cfRule>
  </conditionalFormatting>
  <conditionalFormatting sqref="C60">
    <cfRule type="cellIs" dxfId="844" priority="68" stopIfTrue="1" operator="greaterThan">
      <formula>$F60</formula>
    </cfRule>
  </conditionalFormatting>
  <conditionalFormatting sqref="C60:C61">
    <cfRule type="cellIs" dxfId="843" priority="69" stopIfTrue="1" operator="lessThanOrEqual">
      <formula>0</formula>
    </cfRule>
  </conditionalFormatting>
  <conditionalFormatting sqref="C61">
    <cfRule type="cellIs" dxfId="842" priority="148" stopIfTrue="1" operator="greaterThan">
      <formula>$F60</formula>
    </cfRule>
  </conditionalFormatting>
  <conditionalFormatting sqref="C62:C64">
    <cfRule type="cellIs" dxfId="841" priority="93" stopIfTrue="1" operator="greaterThan">
      <formula>$F62</formula>
    </cfRule>
  </conditionalFormatting>
  <conditionalFormatting sqref="C62:C65">
    <cfRule type="cellIs" dxfId="840" priority="97" stopIfTrue="1" operator="lessThanOrEqual">
      <formula>0</formula>
    </cfRule>
  </conditionalFormatting>
  <conditionalFormatting sqref="C65">
    <cfRule type="cellIs" dxfId="839" priority="96" stopIfTrue="1" operator="greaterThan">
      <formula>$J65</formula>
    </cfRule>
  </conditionalFormatting>
  <conditionalFormatting sqref="C71:C75">
    <cfRule type="cellIs" dxfId="838" priority="136" stopIfTrue="1" operator="lessThanOrEqual">
      <formula>0</formula>
    </cfRule>
  </conditionalFormatting>
  <conditionalFormatting sqref="C72:C75">
    <cfRule type="cellIs" dxfId="837" priority="135" stopIfTrue="1" operator="greaterThan">
      <formula>$F$71</formula>
    </cfRule>
  </conditionalFormatting>
  <conditionalFormatting sqref="C77">
    <cfRule type="cellIs" dxfId="836" priority="137" stopIfTrue="1" operator="greaterThan">
      <formula>$F$71</formula>
    </cfRule>
    <cfRule type="cellIs" dxfId="835" priority="138" stopIfTrue="1" operator="lessThanOrEqual">
      <formula>0</formula>
    </cfRule>
  </conditionalFormatting>
  <conditionalFormatting sqref="C71:D71 D73:D79">
    <cfRule type="cellIs" dxfId="834" priority="130" stopIfTrue="1" operator="greaterThan">
      <formula>4.5</formula>
    </cfRule>
  </conditionalFormatting>
  <conditionalFormatting sqref="D47:D48">
    <cfRule type="cellIs" dxfId="833" priority="114" operator="notBetween">
      <formula>#REF!</formula>
      <formula>#REF!</formula>
    </cfRule>
  </conditionalFormatting>
  <conditionalFormatting sqref="D60:D67">
    <cfRule type="cellIs" dxfId="832" priority="107" stopIfTrue="1" operator="lessThanOrEqual">
      <formula>0</formula>
    </cfRule>
  </conditionalFormatting>
  <conditionalFormatting sqref="D68">
    <cfRule type="cellIs" dxfId="831" priority="106" stopIfTrue="1" operator="lessThanOrEqual">
      <formula>0</formula>
    </cfRule>
  </conditionalFormatting>
  <conditionalFormatting sqref="D71 D73:D79">
    <cfRule type="cellIs" dxfId="830" priority="131" stopIfTrue="1" operator="lessThanOrEqual">
      <formula>0</formula>
    </cfRule>
  </conditionalFormatting>
  <conditionalFormatting sqref="D72">
    <cfRule type="cellIs" dxfId="829" priority="122" stopIfTrue="1" operator="greaterThan">
      <formula>$F$71</formula>
    </cfRule>
    <cfRule type="cellIs" dxfId="828" priority="123" stopIfTrue="1" operator="lessThanOrEqual">
      <formula>0</formula>
    </cfRule>
  </conditionalFormatting>
  <conditionalFormatting sqref="D60:E69">
    <cfRule type="cellIs" dxfId="827" priority="65" stopIfTrue="1" operator="greaterThan">
      <formula>$F60</formula>
    </cfRule>
  </conditionalFormatting>
  <conditionalFormatting sqref="D69:E69">
    <cfRule type="cellIs" dxfId="826" priority="66" stopIfTrue="1" operator="lessThanOrEqual">
      <formula>0</formula>
    </cfRule>
  </conditionalFormatting>
  <conditionalFormatting sqref="E10:E22">
    <cfRule type="cellIs" dxfId="825" priority="56" operator="lessThan">
      <formula>48</formula>
    </cfRule>
  </conditionalFormatting>
  <conditionalFormatting sqref="E51">
    <cfRule type="cellIs" dxfId="824" priority="124" stopIfTrue="1" operator="lessThan">
      <formula>96.8</formula>
    </cfRule>
    <cfRule type="cellIs" dxfId="823" priority="125" stopIfTrue="1" operator="greaterThan">
      <formula>100</formula>
    </cfRule>
  </conditionalFormatting>
  <conditionalFormatting sqref="E60:E68">
    <cfRule type="cellIs" dxfId="822" priority="101" stopIfTrue="1" operator="lessThanOrEqual">
      <formula>0</formula>
    </cfRule>
  </conditionalFormatting>
  <conditionalFormatting sqref="E71:E79">
    <cfRule type="cellIs" dxfId="821" priority="117" stopIfTrue="1" operator="lessThanOrEqual">
      <formula>0</formula>
    </cfRule>
    <cfRule type="cellIs" dxfId="820" priority="116" stopIfTrue="1" operator="greaterThan">
      <formula>4.5</formula>
    </cfRule>
  </conditionalFormatting>
  <conditionalFormatting sqref="E50:F51">
    <cfRule type="cellIs" dxfId="819" priority="126" stopIfTrue="1" operator="lessThan">
      <formula>96.5</formula>
    </cfRule>
    <cfRule type="cellIs" dxfId="818" priority="127" stopIfTrue="1" operator="greaterThan">
      <formula>100</formula>
    </cfRule>
  </conditionalFormatting>
  <conditionalFormatting sqref="F10:F21">
    <cfRule type="cellIs" dxfId="817" priority="58" operator="greaterThan">
      <formula>60</formula>
    </cfRule>
  </conditionalFormatting>
  <conditionalFormatting sqref="F22">
    <cfRule type="cellIs" dxfId="816" priority="152" operator="greaterThan">
      <formula>$AA57</formula>
    </cfRule>
    <cfRule type="cellIs" dxfId="815" priority="151" operator="greaterThan">
      <formula>$AA22</formula>
    </cfRule>
  </conditionalFormatting>
  <conditionalFormatting sqref="F51">
    <cfRule type="cellIs" dxfId="814" priority="142" stopIfTrue="1" operator="lessThan">
      <formula>96.8</formula>
    </cfRule>
    <cfRule type="cellIs" dxfId="813" priority="143" stopIfTrue="1" operator="greaterThan">
      <formula>100</formula>
    </cfRule>
  </conditionalFormatting>
  <conditionalFormatting sqref="F69">
    <cfRule type="cellIs" dxfId="812" priority="102" stopIfTrue="1" operator="greaterThan">
      <formula>$F69</formula>
    </cfRule>
    <cfRule type="cellIs" dxfId="811" priority="103" stopIfTrue="1" operator="lessThanOrEqual">
      <formula>0</formula>
    </cfRule>
  </conditionalFormatting>
  <conditionalFormatting sqref="G60:G61 C66:C68">
    <cfRule type="cellIs" dxfId="810" priority="108" stopIfTrue="1" operator="greaterThan">
      <formula>$F60</formula>
    </cfRule>
    <cfRule type="cellIs" dxfId="809" priority="109" stopIfTrue="1" operator="lessThanOrEqual">
      <formula>0</formula>
    </cfRule>
  </conditionalFormatting>
  <conditionalFormatting sqref="G60:G61">
    <cfRule type="cellIs" dxfId="808" priority="75" stopIfTrue="1" operator="lessThanOrEqual">
      <formula>0</formula>
    </cfRule>
    <cfRule type="cellIs" dxfId="807" priority="74" stopIfTrue="1" operator="greaterThan">
      <formula>$F60</formula>
    </cfRule>
  </conditionalFormatting>
  <conditionalFormatting sqref="G62">
    <cfRule type="cellIs" dxfId="806" priority="146" stopIfTrue="1" operator="greaterThan">
      <formula>$F61</formula>
    </cfRule>
    <cfRule type="cellIs" dxfId="805" priority="147" stopIfTrue="1" operator="lessThanOrEqual">
      <formula>0</formula>
    </cfRule>
  </conditionalFormatting>
  <conditionalFormatting sqref="G63">
    <cfRule type="cellIs" dxfId="804" priority="104" stopIfTrue="1" operator="greaterThan">
      <formula>$F63</formula>
    </cfRule>
    <cfRule type="cellIs" dxfId="803" priority="105" stopIfTrue="1" operator="lessThanOrEqual">
      <formula>0</formula>
    </cfRule>
  </conditionalFormatting>
  <conditionalFormatting sqref="G64:G68">
    <cfRule type="cellIs" dxfId="802" priority="111" stopIfTrue="1" operator="lessThanOrEqual">
      <formula>0</formula>
    </cfRule>
    <cfRule type="cellIs" dxfId="801" priority="110" stopIfTrue="1" operator="greaterThan">
      <formula>$J64</formula>
    </cfRule>
  </conditionalFormatting>
  <conditionalFormatting sqref="G73:G78 C76 C78">
    <cfRule type="cellIs" dxfId="800" priority="140" stopIfTrue="1" operator="lessThanOrEqual">
      <formula>0</formula>
    </cfRule>
    <cfRule type="cellIs" dxfId="799" priority="139" stopIfTrue="1" operator="greaterThan">
      <formula>4.5</formula>
    </cfRule>
  </conditionalFormatting>
  <conditionalFormatting sqref="G10:H22">
    <cfRule type="expression" dxfId="798" priority="12">
      <formula>IF(+(IF(G10&lt;#REF!,0,IF(G10&gt;#REF!,0,1)))=0,1)</formula>
    </cfRule>
  </conditionalFormatting>
  <conditionalFormatting sqref="G72:H72">
    <cfRule type="cellIs" dxfId="797" priority="121" stopIfTrue="1" operator="lessThanOrEqual">
      <formula>0</formula>
    </cfRule>
    <cfRule type="cellIs" dxfId="796" priority="120" stopIfTrue="1" operator="greaterThan">
      <formula>$F$71</formula>
    </cfRule>
  </conditionalFormatting>
  <conditionalFormatting sqref="H36:H49 G37:G48">
    <cfRule type="cellIs" dxfId="795" priority="118" stopIfTrue="1" operator="greaterThan">
      <formula>0</formula>
    </cfRule>
  </conditionalFormatting>
  <conditionalFormatting sqref="H54">
    <cfRule type="cellIs" dxfId="794" priority="28" stopIfTrue="1" operator="lessThanOrEqual">
      <formula>0</formula>
    </cfRule>
    <cfRule type="cellIs" dxfId="793" priority="37" stopIfTrue="1" operator="greaterThan">
      <formula>$F$38</formula>
    </cfRule>
    <cfRule type="cellIs" dxfId="792" priority="38" stopIfTrue="1" operator="lessThanOrEqual">
      <formula>0</formula>
    </cfRule>
    <cfRule type="cellIs" dxfId="791" priority="39" stopIfTrue="1" operator="greaterThan">
      <formula>$F$36</formula>
    </cfRule>
    <cfRule type="cellIs" dxfId="790" priority="40" stopIfTrue="1" operator="lessThanOrEqual">
      <formula>0</formula>
    </cfRule>
    <cfRule type="cellIs" dxfId="789" priority="29" stopIfTrue="1" operator="greaterThan">
      <formula>$F$35</formula>
    </cfRule>
  </conditionalFormatting>
  <conditionalFormatting sqref="H55">
    <cfRule type="cellIs" dxfId="788" priority="91" stopIfTrue="1" operator="greaterThan">
      <formula>$F$60</formula>
    </cfRule>
    <cfRule type="cellIs" dxfId="787" priority="80" stopIfTrue="1" operator="lessThanOrEqual">
      <formula>0</formula>
    </cfRule>
    <cfRule type="cellIs" dxfId="786" priority="89" stopIfTrue="1" operator="greaterThan">
      <formula>$F$62</formula>
    </cfRule>
    <cfRule type="cellIs" dxfId="785" priority="90" stopIfTrue="1" operator="lessThanOrEqual">
      <formula>0</formula>
    </cfRule>
    <cfRule type="cellIs" dxfId="784" priority="92" stopIfTrue="1" operator="lessThanOrEqual">
      <formula>0</formula>
    </cfRule>
    <cfRule type="cellIs" dxfId="783" priority="81" stopIfTrue="1" operator="greaterThan">
      <formula>$F$59</formula>
    </cfRule>
  </conditionalFormatting>
  <conditionalFormatting sqref="H56">
    <cfRule type="cellIs" dxfId="782" priority="14" stopIfTrue="1" operator="lessThanOrEqual">
      <formula>0</formula>
    </cfRule>
    <cfRule type="cellIs" dxfId="781" priority="15" stopIfTrue="1" operator="greaterThan">
      <formula>$F$35</formula>
    </cfRule>
    <cfRule type="cellIs" dxfId="780" priority="26" stopIfTrue="1" operator="lessThanOrEqual">
      <formula>0</formula>
    </cfRule>
    <cfRule type="cellIs" dxfId="779" priority="25" stopIfTrue="1" operator="greaterThan">
      <formula>$F$36</formula>
    </cfRule>
    <cfRule type="cellIs" dxfId="778" priority="23" stopIfTrue="1" operator="greaterThan">
      <formula>$F$38</formula>
    </cfRule>
    <cfRule type="cellIs" dxfId="777" priority="24" stopIfTrue="1" operator="lessThanOrEqual">
      <formula>0</formula>
    </cfRule>
  </conditionalFormatting>
  <conditionalFormatting sqref="H60:H67">
    <cfRule type="cellIs" dxfId="776" priority="94" stopIfTrue="1" operator="greaterThan">
      <formula>$J60</formula>
    </cfRule>
    <cfRule type="cellIs" dxfId="775" priority="95" stopIfTrue="1" operator="lessThanOrEqual">
      <formula>0</formula>
    </cfRule>
  </conditionalFormatting>
  <conditionalFormatting sqref="H68">
    <cfRule type="cellIs" dxfId="774" priority="98" operator="greaterThan">
      <formula>5.3</formula>
    </cfRule>
  </conditionalFormatting>
  <conditionalFormatting sqref="H71 H73:H79">
    <cfRule type="cellIs" dxfId="773" priority="132" stopIfTrue="1" operator="greaterThan">
      <formula>4.5</formula>
    </cfRule>
    <cfRule type="cellIs" dxfId="772" priority="133" stopIfTrue="1" operator="lessThanOrEqual">
      <formula>0</formula>
    </cfRule>
  </conditionalFormatting>
  <conditionalFormatting sqref="H54:I54">
    <cfRule type="cellIs" dxfId="771" priority="27" stopIfTrue="1" operator="greaterThan">
      <formula>$F$37</formula>
    </cfRule>
    <cfRule type="cellIs" dxfId="770" priority="30" stopIfTrue="1" operator="lessThanOrEqual">
      <formula>0</formula>
    </cfRule>
  </conditionalFormatting>
  <conditionalFormatting sqref="H55:I55">
    <cfRule type="cellIs" dxfId="769" priority="82" stopIfTrue="1" operator="lessThanOrEqual">
      <formula>0</formula>
    </cfRule>
    <cfRule type="cellIs" dxfId="768" priority="79" stopIfTrue="1" operator="greaterThan">
      <formula>$F$61</formula>
    </cfRule>
  </conditionalFormatting>
  <conditionalFormatting sqref="H56:I56">
    <cfRule type="cellIs" dxfId="767" priority="16" stopIfTrue="1" operator="lessThanOrEqual">
      <formula>0</formula>
    </cfRule>
    <cfRule type="cellIs" dxfId="766" priority="13" stopIfTrue="1" operator="greaterThan">
      <formula>$F$37</formula>
    </cfRule>
  </conditionalFormatting>
  <conditionalFormatting sqref="H69:I69">
    <cfRule type="cellIs" dxfId="765" priority="63" stopIfTrue="1" operator="greaterThan">
      <formula>$J69</formula>
    </cfRule>
    <cfRule type="cellIs" dxfId="764" priority="64" stopIfTrue="1" operator="lessThanOrEqual">
      <formula>0</formula>
    </cfRule>
  </conditionalFormatting>
  <conditionalFormatting sqref="I22">
    <cfRule type="cellIs" dxfId="763" priority="73" operator="lessThan">
      <formula>98</formula>
    </cfRule>
    <cfRule type="cellIs" dxfId="762" priority="70" operator="lessThan">
      <formula>97.8</formula>
    </cfRule>
  </conditionalFormatting>
  <conditionalFormatting sqref="I54">
    <cfRule type="cellIs" dxfId="761" priority="34" stopIfTrue="1" operator="lessThanOrEqual">
      <formula>0</formula>
    </cfRule>
    <cfRule type="cellIs" dxfId="760" priority="36" stopIfTrue="1" operator="lessThanOrEqual">
      <formula>0</formula>
    </cfRule>
    <cfRule type="cellIs" dxfId="759" priority="33" stopIfTrue="1" operator="greaterThan">
      <formula>$F$37</formula>
    </cfRule>
    <cfRule type="cellIs" dxfId="758" priority="35" stopIfTrue="1" operator="greaterThan">
      <formula>$F$35</formula>
    </cfRule>
    <cfRule type="cellIs" dxfId="757" priority="31" stopIfTrue="1" operator="greaterThan">
      <formula>$F$35</formula>
    </cfRule>
    <cfRule type="cellIs" dxfId="756" priority="32" stopIfTrue="1" operator="lessThanOrEqual">
      <formula>0</formula>
    </cfRule>
  </conditionalFormatting>
  <conditionalFormatting sqref="I55">
    <cfRule type="cellIs" dxfId="755" priority="83" stopIfTrue="1" operator="greaterThan">
      <formula>$F$59</formula>
    </cfRule>
    <cfRule type="cellIs" dxfId="754" priority="85" stopIfTrue="1" operator="greaterThan">
      <formula>$F$61</formula>
    </cfRule>
    <cfRule type="cellIs" dxfId="753" priority="86" stopIfTrue="1" operator="lessThanOrEqual">
      <formula>0</formula>
    </cfRule>
    <cfRule type="cellIs" dxfId="752" priority="87" stopIfTrue="1" operator="greaterThan">
      <formula>$F$59</formula>
    </cfRule>
    <cfRule type="cellIs" dxfId="751" priority="88" stopIfTrue="1" operator="lessThanOrEqual">
      <formula>0</formula>
    </cfRule>
    <cfRule type="cellIs" dxfId="750" priority="84" stopIfTrue="1" operator="lessThanOrEqual">
      <formula>0</formula>
    </cfRule>
  </conditionalFormatting>
  <conditionalFormatting sqref="I56">
    <cfRule type="cellIs" dxfId="749" priority="17" stopIfTrue="1" operator="greaterThan">
      <formula>$F$35</formula>
    </cfRule>
    <cfRule type="cellIs" dxfId="748" priority="18" stopIfTrue="1" operator="lessThanOrEqual">
      <formula>0</formula>
    </cfRule>
    <cfRule type="cellIs" dxfId="747" priority="19" stopIfTrue="1" operator="greaterThan">
      <formula>$F$37</formula>
    </cfRule>
    <cfRule type="cellIs" dxfId="746" priority="20" stopIfTrue="1" operator="lessThanOrEqual">
      <formula>0</formula>
    </cfRule>
    <cfRule type="cellIs" dxfId="745" priority="21" stopIfTrue="1" operator="greaterThan">
      <formula>$F$35</formula>
    </cfRule>
    <cfRule type="cellIs" dxfId="744" priority="22" stopIfTrue="1" operator="lessThanOrEqual">
      <formula>0</formula>
    </cfRule>
  </conditionalFormatting>
  <conditionalFormatting sqref="I60:I68">
    <cfRule type="cellIs" dxfId="743" priority="99" stopIfTrue="1" operator="greaterThan">
      <formula>$J60</formula>
    </cfRule>
    <cfRule type="cellIs" dxfId="742" priority="100" stopIfTrue="1" operator="lessThanOrEqual">
      <formula>0</formula>
    </cfRule>
  </conditionalFormatting>
  <conditionalFormatting sqref="I71:I79">
    <cfRule type="cellIs" dxfId="741" priority="129" stopIfTrue="1" operator="lessThanOrEqual">
      <formula>0</formula>
    </cfRule>
    <cfRule type="cellIs" dxfId="740" priority="128" stopIfTrue="1" operator="greaterThan">
      <formula>4.5</formula>
    </cfRule>
  </conditionalFormatting>
  <conditionalFormatting sqref="I10:J21">
    <cfRule type="cellIs" dxfId="739" priority="59" operator="lessThan">
      <formula>97.9</formula>
    </cfRule>
  </conditionalFormatting>
  <conditionalFormatting sqref="J22">
    <cfRule type="cellIs" dxfId="738" priority="72" operator="lessThan">
      <formula>97.4</formula>
    </cfRule>
    <cfRule type="cellIs" dxfId="737" priority="71" operator="notBetween">
      <formula>98</formula>
      <formula>99.9</formula>
    </cfRule>
  </conditionalFormatting>
  <conditionalFormatting sqref="J25:J27">
    <cfRule type="cellIs" dxfId="736" priority="43" stopIfTrue="1" operator="lessThan">
      <formula>96.8</formula>
    </cfRule>
    <cfRule type="cellIs" dxfId="735" priority="45" operator="lessThan">
      <formula>98</formula>
    </cfRule>
    <cfRule type="cellIs" dxfId="734" priority="44" stopIfTrue="1" operator="greaterThan">
      <formula>100</formula>
    </cfRule>
  </conditionalFormatting>
  <conditionalFormatting sqref="J25:J29">
    <cfRule type="cellIs" dxfId="733" priority="42" operator="lessThan">
      <formula>97.4</formula>
    </cfRule>
  </conditionalFormatting>
  <conditionalFormatting sqref="J30">
    <cfRule type="cellIs" dxfId="732" priority="46" operator="lessThan">
      <formula>98</formula>
    </cfRule>
  </conditionalFormatting>
  <conditionalFormatting sqref="J31:J33">
    <cfRule type="cellIs" dxfId="731" priority="48" stopIfTrue="1" operator="greaterThan">
      <formula>100</formula>
    </cfRule>
    <cfRule type="cellIs" dxfId="730" priority="47" stopIfTrue="1" operator="lessThan">
      <formula>96.8</formula>
    </cfRule>
  </conditionalFormatting>
  <conditionalFormatting sqref="J31:J34">
    <cfRule type="cellIs" dxfId="729" priority="49" operator="lessThan">
      <formula>98</formula>
    </cfRule>
  </conditionalFormatting>
  <conditionalFormatting sqref="J69">
    <cfRule type="cellIs" dxfId="728" priority="61" stopIfTrue="1" operator="lessThanOrEqual">
      <formula>0</formula>
    </cfRule>
    <cfRule type="cellIs" dxfId="727" priority="60" stopIfTrue="1" operator="greaterThan">
      <formula>$F69</formula>
    </cfRule>
  </conditionalFormatting>
  <conditionalFormatting sqref="K10:K22">
    <cfRule type="cellIs" dxfId="726" priority="52" operator="greaterThan">
      <formula>6</formula>
    </cfRule>
    <cfRule type="cellIs" dxfId="725" priority="53" operator="lessThan">
      <formula>4</formula>
    </cfRule>
    <cfRule type="cellIs" dxfId="724" priority="57" operator="greaterThan">
      <formula>6.4</formula>
    </cfRule>
  </conditionalFormatting>
  <conditionalFormatting sqref="K39:K48">
    <cfRule type="cellIs" dxfId="723" priority="41" operator="notEqual">
      <formula>#REF!</formula>
    </cfRule>
  </conditionalFormatting>
  <conditionalFormatting sqref="K54:K56 K60:N68">
    <cfRule type="cellIs" dxfId="722" priority="112" stopIfTrue="1" operator="lessThan">
      <formula>100%</formula>
    </cfRule>
  </conditionalFormatting>
  <conditionalFormatting sqref="K71:K76">
    <cfRule type="cellIs" dxfId="721" priority="134" stopIfTrue="1" operator="lessThan">
      <formula>100%</formula>
    </cfRule>
  </conditionalFormatting>
  <conditionalFormatting sqref="K78:K79">
    <cfRule type="cellIs" dxfId="720" priority="141" stopIfTrue="1" operator="lessThan">
      <formula>100%</formula>
    </cfRule>
  </conditionalFormatting>
  <conditionalFormatting sqref="L10:L22">
    <cfRule type="cellIs" dxfId="719" priority="55" operator="greaterThan">
      <formula>65</formula>
    </cfRule>
    <cfRule type="cellIs" dxfId="718" priority="54" operator="between">
      <formula>61</formula>
      <formula>65</formula>
    </cfRule>
  </conditionalFormatting>
  <conditionalFormatting sqref="L25:M36">
    <cfRule type="cellIs" dxfId="717" priority="67" operator="lessThan">
      <formula>98</formula>
    </cfRule>
  </conditionalFormatting>
  <conditionalFormatting sqref="L40:N40">
    <cfRule type="cellIs" dxfId="716" priority="76" operator="notEqual">
      <formula>#REF!</formula>
    </cfRule>
  </conditionalFormatting>
  <conditionalFormatting sqref="L69:N69">
    <cfRule type="cellIs" dxfId="715" priority="62" stopIfTrue="1" operator="lessThan">
      <formula>100%</formula>
    </cfRule>
  </conditionalFormatting>
  <conditionalFormatting sqref="L71:N79">
    <cfRule type="cellIs" dxfId="714" priority="119" stopIfTrue="1" operator="lessThan">
      <formula>100%</formula>
    </cfRule>
  </conditionalFormatting>
  <conditionalFormatting sqref="M10:M22">
    <cfRule type="expression" dxfId="713" priority="50">
      <formula>IF(+(IF(M10&lt;V10,0,IF(M10&gt;W10,0,1)))=0,1)</formula>
    </cfRule>
  </conditionalFormatting>
  <conditionalFormatting sqref="M6:N6">
    <cfRule type="cellIs" dxfId="712" priority="78" operator="greaterThanOrEqual">
      <formula>19</formula>
    </cfRule>
    <cfRule type="cellIs" dxfId="711" priority="77" operator="greaterThanOrEqual">
      <formula>15</formula>
    </cfRule>
  </conditionalFormatting>
  <conditionalFormatting sqref="N10:N22">
    <cfRule type="expression" dxfId="710" priority="51">
      <formula>IF(+(IF(N10&lt;X10,0,IF(N10&gt;Y10,0,1)))=0,1)</formula>
    </cfRule>
  </conditionalFormatting>
  <conditionalFormatting sqref="N22">
    <cfRule type="expression" dxfId="709" priority="149">
      <formula>IF(+(IF(N22&lt;X62,0,IF(N22&gt;Y62,0,1)))=0,1)</formula>
    </cfRule>
    <cfRule type="expression" dxfId="708" priority="150">
      <formula>IF(+(IF(N22&lt;X57,0,IF(N22&gt;Y57,0,1)))=0,1)</formula>
    </cfRule>
  </conditionalFormatting>
  <conditionalFormatting sqref="P6">
    <cfRule type="cellIs" dxfId="707" priority="115" operator="greaterThanOrEqual">
      <formula>19</formula>
    </cfRule>
  </conditionalFormatting>
  <dataValidations count="1">
    <dataValidation type="list" allowBlank="1" showInputMessage="1" showErrorMessage="1" sqref="S8 B22" xr:uid="{CA88141B-16EB-45D2-BD24-E940A2EF7D98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C054-0C96-4ABF-9FFA-721C79C709C4}">
  <sheetPr>
    <pageSetUpPr fitToPage="1"/>
  </sheetPr>
  <dimension ref="A1:BF81"/>
  <sheetViews>
    <sheetView topLeftCell="A8" zoomScale="80" zoomScaleNormal="80" workbookViewId="0">
      <selection activeCell="H56" sqref="H56:I56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205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45742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204</v>
      </c>
      <c r="K6" s="404"/>
      <c r="L6" s="311" t="s">
        <v>14</v>
      </c>
      <c r="M6" s="340">
        <v>22</v>
      </c>
      <c r="N6" s="340">
        <v>18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[23]Brewhouse!$A320</f>
        <v>CA217</v>
      </c>
      <c r="D10" s="279">
        <f>[23]Brewhouse!$AF320</f>
        <v>53</v>
      </c>
      <c r="E10" s="279">
        <f>[23]Brewhouse!$AI320</f>
        <v>49.3</v>
      </c>
      <c r="F10" s="278">
        <f>[23]Brewhouse!$V320</f>
        <v>56</v>
      </c>
      <c r="G10" s="279">
        <f>[23]Brewhouse!$AG320</f>
        <v>11.7</v>
      </c>
      <c r="H10" s="367"/>
      <c r="I10" s="368">
        <f>[23]Brewhouse!$AU320</f>
        <v>94.2893537985222</v>
      </c>
      <c r="J10" s="368">
        <f>[23]Brewhouse!$AV320</f>
        <v>95.407992749094433</v>
      </c>
      <c r="K10" s="281">
        <f>[23]Brewhouse!$Q320</f>
        <v>7.7954144620811308</v>
      </c>
      <c r="L10" s="276">
        <f>[23]Brewhouse!$P320</f>
        <v>58</v>
      </c>
      <c r="M10" s="397">
        <f>[23]Brewhouse!$U320-[23]Brewhouse!$T320</f>
        <v>0.11874999999999997</v>
      </c>
      <c r="N10" s="370">
        <f>[23]Brewhouse!$Z320</f>
        <v>0.25555555555555554</v>
      </c>
      <c r="O10" s="371" t="str">
        <f>[23]Brewhouse!$AX320</f>
        <v>R.Sookram</v>
      </c>
      <c r="P10" s="441"/>
      <c r="Q10" s="347"/>
      <c r="S10" s="277" t="str">
        <f t="shared" ref="S10:S24" si="0">B10</f>
        <v>CARIB</v>
      </c>
      <c r="T10" s="296">
        <f t="shared" ref="T10:T24" si="1">VLOOKUP($B10,$S$3:$Y$9,2,FALSE)</f>
        <v>11.6</v>
      </c>
      <c r="U10" s="296">
        <f t="shared" ref="U10:U24" si="2">VLOOKUP($B10,$S$3:$Y$9,3,FALSE)</f>
        <v>12</v>
      </c>
      <c r="V10" s="297">
        <f t="shared" ref="V10:V24" si="3">VLOOKUP($B10,$S$3:$Y$9,4,FALSE)</f>
        <v>0</v>
      </c>
      <c r="W10" s="297">
        <f t="shared" ref="W10:W24" si="4">VLOOKUP($B10,$S$3:$Y$9,5,FALSE)</f>
        <v>0.118055555555556</v>
      </c>
      <c r="X10" s="297">
        <f t="shared" ref="X10:X24" si="5">VLOOKUP($B10,$S$3:$Y$9,6,FALSE)</f>
        <v>0.22569444444444445</v>
      </c>
      <c r="Y10" s="297">
        <f t="shared" ref="Y10:Y24" si="6">VLOOKUP($B10,$S$3:$Y$9,7,FALSE)</f>
        <v>0.2638888888888889</v>
      </c>
      <c r="Z10" s="297">
        <f t="shared" ref="Z10:Z24" si="7">VLOOKUP($B10,$S$3:$AA$9,8,FALSE)</f>
        <v>0</v>
      </c>
      <c r="AA10" s="296">
        <f t="shared" ref="AA10:AA24" si="8">VLOOKUP($B10,$S$3:$AA$9,9,FALSE)</f>
        <v>60</v>
      </c>
    </row>
    <row r="11" spans="2:30" ht="15.75" customHeight="1">
      <c r="B11" s="29" t="s">
        <v>6</v>
      </c>
      <c r="C11" s="366" t="str">
        <f>[23]Brewhouse!$A321</f>
        <v>CA218</v>
      </c>
      <c r="D11" s="279">
        <f>[23]Brewhouse!$AF321</f>
        <v>53.6</v>
      </c>
      <c r="E11" s="279">
        <f>[23]Brewhouse!$AI321</f>
        <v>50.4</v>
      </c>
      <c r="F11" s="278">
        <f>[23]Brewhouse!$V321</f>
        <v>62</v>
      </c>
      <c r="G11" s="279">
        <f>[23]Brewhouse!$AG321</f>
        <v>11.9</v>
      </c>
      <c r="H11" s="367"/>
      <c r="I11" s="368">
        <f>[23]Brewhouse!$AU321</f>
        <v>98.710610505273081</v>
      </c>
      <c r="J11" s="368">
        <f>[23]Brewhouse!$AV321</f>
        <v>99.931744204344213</v>
      </c>
      <c r="K11" s="281">
        <f>[23]Brewhouse!$Q321</f>
        <v>5.703839122486297</v>
      </c>
      <c r="L11" s="276">
        <f>[23]Brewhouse!$P321</f>
        <v>60</v>
      </c>
      <c r="M11" s="397">
        <f>[23]Brewhouse!$U321-[23]Brewhouse!$T321</f>
        <v>0.11319444444444443</v>
      </c>
      <c r="N11" s="370">
        <f>[23]Brewhouse!$Z321</f>
        <v>0.27430555555555558</v>
      </c>
      <c r="O11" s="371" t="str">
        <f>[23]Brewhouse!$AX321</f>
        <v>K.Benjamin</v>
      </c>
      <c r="P11" s="441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[23]Brewhouse!$A322</f>
        <v>CA219</v>
      </c>
      <c r="D12" s="279">
        <f>[23]Brewhouse!$AF322</f>
        <v>52.5</v>
      </c>
      <c r="E12" s="279">
        <f>[23]Brewhouse!$AI322</f>
        <v>48.9</v>
      </c>
      <c r="F12" s="278">
        <f>[23]Brewhouse!$V322</f>
        <v>58</v>
      </c>
      <c r="G12" s="279">
        <f>[23]Brewhouse!$AG322</f>
        <v>11.94</v>
      </c>
      <c r="H12" s="367"/>
      <c r="I12" s="368">
        <f>[23]Brewhouse!$AU322</f>
        <v>96.128929587864761</v>
      </c>
      <c r="J12" s="368">
        <f>[23]Brewhouse!$AV322</f>
        <v>97.317930900181665</v>
      </c>
      <c r="K12" s="281">
        <f>[23]Brewhouse!$Q322</f>
        <v>6.870503597122303</v>
      </c>
      <c r="L12" s="276">
        <f>[23]Brewhouse!$P322</f>
        <v>60</v>
      </c>
      <c r="M12" s="397">
        <f>[23]Brewhouse!$U322-[23]Brewhouse!$T322</f>
        <v>0.10972222222222217</v>
      </c>
      <c r="N12" s="370">
        <f>[23]Brewhouse!$Z322</f>
        <v>0.24236111111111108</v>
      </c>
      <c r="O12" s="371" t="str">
        <f>[23]Brewhouse!$AX322</f>
        <v>K.Benjamin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[23]Brewhouse!$A323</f>
        <v>CA220</v>
      </c>
      <c r="D13" s="279">
        <f>[23]Brewhouse!$AF323</f>
        <v>53</v>
      </c>
      <c r="E13" s="279">
        <f>[23]Brewhouse!$AI323</f>
        <v>49.7</v>
      </c>
      <c r="F13" s="278">
        <f>[23]Brewhouse!$V323</f>
        <v>60</v>
      </c>
      <c r="G13" s="279">
        <f>[23]Brewhouse!$AG323</f>
        <v>11.94</v>
      </c>
      <c r="H13" s="396">
        <v>11.9</v>
      </c>
      <c r="I13" s="368">
        <f>[23]Brewhouse!$AU323</f>
        <v>97.94439772053714</v>
      </c>
      <c r="J13" s="368">
        <f>[23]Brewhouse!$AV323</f>
        <v>99.155721080550038</v>
      </c>
      <c r="K13" s="281">
        <f>[23]Brewhouse!$Q323</f>
        <v>5.2898550724637703</v>
      </c>
      <c r="L13" s="276">
        <f>[23]Brewhouse!$P323</f>
        <v>61</v>
      </c>
      <c r="M13" s="397">
        <f>[23]Brewhouse!$U323-[23]Brewhouse!$T323</f>
        <v>0.10902777777777772</v>
      </c>
      <c r="N13" s="370">
        <f>[23]Brewhouse!$Z323</f>
        <v>0.26666666666666666</v>
      </c>
      <c r="O13" s="371" t="str">
        <f>[23]Brewhouse!$AX323</f>
        <v>K.Benjamin</v>
      </c>
      <c r="P13" s="441" t="s">
        <v>206</v>
      </c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[23]Brewhouse!$A324</f>
        <v>CA221</v>
      </c>
      <c r="D14" s="279">
        <f>[23]Brewhouse!$AF324</f>
        <v>49.1</v>
      </c>
      <c r="E14" s="279">
        <f>[23]Brewhouse!$AI324</f>
        <v>48.1</v>
      </c>
      <c r="F14" s="278">
        <f>[23]Brewhouse!$V324</f>
        <v>76</v>
      </c>
      <c r="G14" s="279">
        <f>[23]Brewhouse!$AG324</f>
        <v>11.92</v>
      </c>
      <c r="H14" s="396">
        <v>12</v>
      </c>
      <c r="I14" s="368">
        <f>[23]Brewhouse!$AU324</f>
        <v>97.705041554039269</v>
      </c>
      <c r="J14" s="368">
        <f>[23]Brewhouse!$AV324</f>
        <v>98.911757759377934</v>
      </c>
      <c r="K14" s="281">
        <f>[23]Brewhouse!$Q324</f>
        <v>14.067495559502655</v>
      </c>
      <c r="L14" s="276">
        <f>[23]Brewhouse!$P324</f>
        <v>60</v>
      </c>
      <c r="M14" s="397">
        <f>[23]Brewhouse!$U324-[23]Brewhouse!$T324</f>
        <v>0.13055555555555542</v>
      </c>
      <c r="N14" s="370">
        <f>[23]Brewhouse!$Z324</f>
        <v>0.26527777777777772</v>
      </c>
      <c r="O14" s="371" t="str">
        <f>[23]Brewhouse!$AX324</f>
        <v>R.Regis</v>
      </c>
      <c r="P14" s="441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[23]Brewhouse!$A325</f>
        <v>CA222</v>
      </c>
      <c r="D15" s="279">
        <f>[23]Brewhouse!$AF325</f>
        <v>54.5</v>
      </c>
      <c r="E15" s="279">
        <f>[23]Brewhouse!$AI325</f>
        <v>49.9</v>
      </c>
      <c r="F15" s="278">
        <f>[23]Brewhouse!$V325</f>
        <v>63</v>
      </c>
      <c r="G15" s="279">
        <f>[23]Brewhouse!$AG325</f>
        <v>11.9</v>
      </c>
      <c r="H15" s="367"/>
      <c r="I15" s="368">
        <f>[23]Brewhouse!$AU325</f>
        <v>97.474306422859613</v>
      </c>
      <c r="J15" s="368">
        <f>[23]Brewhouse!$AV325</f>
        <v>98.818390651663634</v>
      </c>
      <c r="K15" s="281">
        <f>[23]Brewhouse!$Q325</f>
        <v>5.6624319419237699</v>
      </c>
      <c r="L15" s="276">
        <f>[23]Brewhouse!$P325</f>
        <v>56</v>
      </c>
      <c r="M15" s="397">
        <f>[23]Brewhouse!$U325-[23]Brewhouse!$T325</f>
        <v>0.11874999999999991</v>
      </c>
      <c r="N15" s="370">
        <f>[23]Brewhouse!$Z325</f>
        <v>0.25555555555555542</v>
      </c>
      <c r="O15" s="371" t="str">
        <f>[23]Brewhouse!$AX325</f>
        <v>R.Sookram</v>
      </c>
      <c r="P15" s="441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438">
        <v>45742</v>
      </c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41"/>
      <c r="Q16" s="347"/>
      <c r="S16" s="277"/>
      <c r="T16" s="296"/>
      <c r="U16" s="296"/>
      <c r="V16" s="297"/>
      <c r="W16" s="297"/>
      <c r="X16" s="297"/>
      <c r="Y16" s="297"/>
      <c r="Z16" s="297"/>
      <c r="AA16" s="296"/>
    </row>
    <row r="17" spans="1:27" ht="15.75" customHeight="1">
      <c r="B17" s="29" t="s">
        <v>6</v>
      </c>
      <c r="C17" s="366" t="str">
        <f>[23]Brewhouse!$A326</f>
        <v>CA223</v>
      </c>
      <c r="D17" s="279">
        <f>[23]Brewhouse!$AF326</f>
        <v>53.3</v>
      </c>
      <c r="E17" s="279">
        <f>[23]Brewhouse!$AI326</f>
        <v>49.7</v>
      </c>
      <c r="F17" s="278">
        <f>[23]Brewhouse!$V326</f>
        <v>60</v>
      </c>
      <c r="G17" s="279">
        <f>[23]Brewhouse!$AG326</f>
        <v>12</v>
      </c>
      <c r="H17" s="367"/>
      <c r="I17" s="368">
        <f>[23]Brewhouse!$AU326</f>
        <v>97.820735625935143</v>
      </c>
      <c r="J17" s="368">
        <f>[23]Brewhouse!$AV326</f>
        <v>99.169669914295739</v>
      </c>
      <c r="K17" s="281">
        <f>[23]Brewhouse!$Q326</f>
        <v>6.6547406082289786</v>
      </c>
      <c r="L17" s="276">
        <f>[23]Brewhouse!$P326</f>
        <v>57</v>
      </c>
      <c r="M17" s="397">
        <f>[23]Brewhouse!$U326-[23]Brewhouse!$T326</f>
        <v>0.10486111111111107</v>
      </c>
      <c r="N17" s="370">
        <f>[23]Brewhouse!$Z326</f>
        <v>0.2548611111111112</v>
      </c>
      <c r="O17" s="371" t="str">
        <f>[23]Brewhouse!$AX326</f>
        <v>R.Sookram</v>
      </c>
      <c r="P17" s="441"/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1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35" t="str">
        <f>I25</f>
        <v>CARIB</v>
      </c>
      <c r="C25" s="362" cm="1">
        <f t="array" ref="C25:C29">[23]Process!$D$249:$D$253</f>
        <v>11.9</v>
      </c>
      <c r="D25" s="485">
        <v>11.6</v>
      </c>
      <c r="E25" s="486"/>
      <c r="F25" s="294"/>
      <c r="G25" s="294"/>
      <c r="H25" s="348"/>
      <c r="I25" s="29" t="s">
        <v>6</v>
      </c>
      <c r="J25" s="280">
        <f>AVERAGE(I10:I15)</f>
        <v>97.04210659818267</v>
      </c>
      <c r="K25" s="284">
        <f>COUNTA([23]Brewhouse!$A$255:$A$325)</f>
        <v>71</v>
      </c>
      <c r="L25" s="302">
        <f>AVERAGE([23]Brewhouse!$AU$255:$AU325)</f>
        <v>98.965746642263767</v>
      </c>
      <c r="M25" s="302">
        <f>AVERAGE([23]Brewhouse!$AU$102:$AU$171,[23]Brewhouse!$AU$173:$AU$253,[23]Brewhouse!$AU$255:$AU$325)</f>
        <v>96.681232724451291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3"/>
      <c r="C26" s="349">
        <v>11.7</v>
      </c>
      <c r="D26" s="487"/>
      <c r="E26" s="488"/>
      <c r="F26" s="294"/>
      <c r="G26" s="294"/>
      <c r="H26" s="348"/>
      <c r="I26" s="33" t="s">
        <v>9</v>
      </c>
      <c r="J26" s="280"/>
      <c r="K26" s="284">
        <f>COUNTA([24]Brewhouse!$A$105:$A$136)</f>
        <v>32</v>
      </c>
      <c r="L26" s="302">
        <f>AVERAGE([24]Brewhouse!$AS$105:$AS$136)</f>
        <v>98.98059636856776</v>
      </c>
      <c r="M26" s="302">
        <f>AVERAGE([24]Brewhouse!$AS$15:$AS$64,[24]Brewhouse!$AS$66:$AS$103,[24]Brewhouse!$AS$105:$AS$136)</f>
        <v>96.712617129111081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3"/>
      <c r="C27" s="349">
        <v>11.78</v>
      </c>
      <c r="D27" s="485">
        <v>11.66</v>
      </c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>
        <v>11.8</v>
      </c>
      <c r="D28" s="487"/>
      <c r="E28" s="488"/>
      <c r="F28" s="294"/>
      <c r="G28" s="294"/>
      <c r="H28" s="348"/>
      <c r="I28" s="22" t="s">
        <v>33</v>
      </c>
      <c r="J28" s="280"/>
      <c r="K28" s="284"/>
      <c r="L28" s="302"/>
      <c r="M28" s="302">
        <f>AVERAGE([26]Brewhouse!$AV$5:$AV$14,[26]Brewhouse!$AV$16:$AV$19)</f>
        <v>98.230957815544443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3"/>
      <c r="C29" s="349">
        <v>11.8</v>
      </c>
      <c r="D29" s="485">
        <v>11.85</v>
      </c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3"/>
      <c r="C30" s="349">
        <f>[23]Process!$D$269</f>
        <v>11.93</v>
      </c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/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3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3"/>
      <c r="C35" s="349"/>
      <c r="D35" s="485"/>
      <c r="E35" s="486"/>
      <c r="F35" s="294"/>
      <c r="G35" s="294"/>
      <c r="H35" s="348"/>
      <c r="I35" s="1"/>
      <c r="J35" s="39"/>
      <c r="K35" s="408">
        <f>SUM(K25:K34)</f>
        <v>119</v>
      </c>
      <c r="L35" s="409">
        <f>((L25*K25)+(L26*K26)+(L27*K27)+(L28*K28)+(L29*K29)+(K32*L32)+(L30*K30)+(L31*K31)+(L34*K34))/(K35)</f>
        <v>98.857330952804062</v>
      </c>
      <c r="M35" s="409">
        <f>AVERAGE('[29]Jan 31st'!$L$65,'[30]Feb 28th'!$L$35,L35)</f>
        <v>96.76676912673436</v>
      </c>
      <c r="N35" s="40">
        <v>98</v>
      </c>
      <c r="O35" s="11"/>
      <c r="P35" s="31"/>
      <c r="S35" s="23"/>
    </row>
    <row r="36" spans="1:57" ht="15" thickBot="1">
      <c r="B36" s="534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47" t="str">
        <f>I26</f>
        <v>STAG</v>
      </c>
      <c r="C37" s="362" cm="1">
        <f t="array" ref="C37:C44">[24]Process!$D$105:$D$112</f>
        <v>11.85</v>
      </c>
      <c r="D37" s="498">
        <v>11.72</v>
      </c>
      <c r="E37" s="499"/>
      <c r="F37" s="43"/>
      <c r="G37" s="41"/>
      <c r="H37" s="41"/>
      <c r="I37" s="42"/>
      <c r="J37" s="501" t="s">
        <v>129</v>
      </c>
      <c r="K37" s="501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483"/>
      <c r="C38" s="349">
        <v>11.74</v>
      </c>
      <c r="D38" s="500"/>
      <c r="E38" s="488"/>
      <c r="F38" s="43"/>
      <c r="G38" s="41"/>
      <c r="H38" s="41"/>
      <c r="I38" s="42"/>
      <c r="J38" s="418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483"/>
      <c r="C39" s="349">
        <v>11.9</v>
      </c>
      <c r="D39" s="504">
        <v>11.85</v>
      </c>
      <c r="E39" s="486"/>
      <c r="F39" s="43"/>
      <c r="G39" s="41"/>
      <c r="H39" s="41"/>
      <c r="I39" s="42"/>
      <c r="J39" s="419" t="s">
        <v>6</v>
      </c>
      <c r="K39" s="324">
        <f>COUNTA(B10:B15)</f>
        <v>6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483"/>
      <c r="C40" s="349">
        <v>11.7</v>
      </c>
      <c r="D40" s="500"/>
      <c r="E40" s="488"/>
      <c r="F40" s="43"/>
      <c r="G40" s="41"/>
      <c r="H40" s="41"/>
      <c r="I40" s="42"/>
      <c r="J40" s="420" t="s">
        <v>9</v>
      </c>
      <c r="K40" s="324"/>
      <c r="L40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20th'!K49,'Mar. 21th'!K44,'Mar. 24th'!K49,'Mar. 25th'!K49)</f>
        <v>6.2105263157894735</v>
      </c>
      <c r="M40" s="325">
        <f>AVERAGE('[29]Jan 29th '!$M$70,'[30]Feb 28th'!$L$40,L40)</f>
        <v>6.5738384422594942</v>
      </c>
      <c r="N40" s="400">
        <v>10</v>
      </c>
      <c r="O40" s="294"/>
      <c r="P40" s="12"/>
      <c r="S40" s="23"/>
    </row>
    <row r="41" spans="1:57" ht="15" customHeight="1">
      <c r="B41" s="483"/>
      <c r="C41" s="349">
        <v>11.6</v>
      </c>
      <c r="D41" s="504">
        <v>11.81</v>
      </c>
      <c r="E41" s="486"/>
      <c r="F41" s="43"/>
      <c r="G41" s="41"/>
      <c r="H41" s="41"/>
      <c r="I41" s="42"/>
      <c r="J41" s="421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483"/>
      <c r="C42" s="349">
        <v>11.8</v>
      </c>
      <c r="D42" s="500"/>
      <c r="E42" s="488"/>
      <c r="F42" s="43"/>
      <c r="G42" s="41"/>
      <c r="H42" s="41"/>
      <c r="I42" s="42"/>
      <c r="J42" s="422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483"/>
      <c r="C43" s="349">
        <v>12</v>
      </c>
      <c r="D43" s="504">
        <v>11.82</v>
      </c>
      <c r="E43" s="486"/>
      <c r="F43" s="43"/>
      <c r="G43" s="41"/>
      <c r="H43" s="41"/>
      <c r="I43" s="42"/>
      <c r="J43" s="423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483"/>
      <c r="C44" s="349">
        <v>11.9</v>
      </c>
      <c r="D44" s="500"/>
      <c r="E44" s="488"/>
      <c r="F44" s="43"/>
      <c r="G44" s="41"/>
      <c r="H44" s="41"/>
      <c r="I44" s="42"/>
      <c r="J44" s="424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483"/>
      <c r="C45" s="349"/>
      <c r="D45" s="505"/>
      <c r="E45" s="490"/>
      <c r="F45" s="43"/>
      <c r="G45" s="41"/>
      <c r="H45" s="41"/>
      <c r="I45" s="42"/>
      <c r="J45" s="424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484"/>
      <c r="C46" s="350"/>
      <c r="D46" s="506"/>
      <c r="E46" s="507"/>
      <c r="F46" s="43"/>
      <c r="G46" s="41"/>
      <c r="H46" s="41"/>
      <c r="I46" s="42"/>
      <c r="J46" s="424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11.758571428571429</v>
      </c>
      <c r="E47" s="509"/>
      <c r="F47" s="43"/>
      <c r="G47" s="41"/>
      <c r="H47" s="41"/>
      <c r="I47" s="42"/>
      <c r="J47" s="42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42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426" t="s">
        <v>130</v>
      </c>
      <c r="K49" s="324">
        <f>SUM(K39:K48)</f>
        <v>6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 thickBot="1">
      <c r="B54" s="430" t="s">
        <v>64</v>
      </c>
      <c r="C54" s="283">
        <v>45741</v>
      </c>
      <c r="D54" s="377">
        <f>[31]March_2025!$AB$3</f>
        <v>292.5</v>
      </c>
      <c r="E54" s="378"/>
      <c r="F54" s="379"/>
      <c r="G54" s="303">
        <f>[31]March_2025!$AB$7</f>
        <v>257</v>
      </c>
      <c r="H54" s="320"/>
      <c r="I54" s="322"/>
      <c r="J54" s="390" t="s">
        <v>201</v>
      </c>
      <c r="K54" s="433">
        <f>[33]March_2025!$AB$18</f>
        <v>0.42833333333333334</v>
      </c>
      <c r="L54" s="314">
        <f>(((D54+E54)-G54)/(D54+E54))*100</f>
        <v>12.136752136752136</v>
      </c>
      <c r="M54" s="357" t="s">
        <v>202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1.2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4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ht="58.5" customHeight="1" thickBot="1">
      <c r="B56" s="443" t="str">
        <f>I26</f>
        <v>STAG</v>
      </c>
      <c r="C56" s="283">
        <v>45741</v>
      </c>
      <c r="D56" s="279">
        <f>[31]March_2025!$AB$13</f>
        <v>394.9</v>
      </c>
      <c r="E56" s="279"/>
      <c r="F56" s="279">
        <f>SUM([32]STAG!$L$29:$L$36)</f>
        <v>390.8</v>
      </c>
      <c r="G56" s="279">
        <f>[31]March_2025!$AB$17</f>
        <v>383</v>
      </c>
      <c r="H56" s="320">
        <f>(D56-F56)/D56*100</f>
        <v>1.0382375284882162</v>
      </c>
      <c r="I56" s="322">
        <f>((F56+E56)-G56)/(F56+E56)*100</f>
        <v>1.9959058341862872</v>
      </c>
      <c r="J56" s="390" t="s">
        <v>203</v>
      </c>
      <c r="K56" s="52">
        <f>[33]March_2025!$AB$25</f>
        <v>0.95750000000000002</v>
      </c>
      <c r="L56" s="281">
        <f>(((D56+E56)-G56)/(D56+E56))*100</f>
        <v>3.0134211192706961</v>
      </c>
      <c r="M56" s="357" t="s">
        <v>166</v>
      </c>
      <c r="N56" s="77"/>
      <c r="O56" s="13"/>
      <c r="P56" s="56"/>
    </row>
    <row r="57" spans="2:58" ht="18" customHeight="1" thickBot="1">
      <c r="B57" s="58"/>
      <c r="C57" s="309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56"/>
      <c r="P57" s="60"/>
    </row>
    <row r="58" spans="2:58" ht="14.4" thickBot="1">
      <c r="B58" s="517" t="s">
        <v>55</v>
      </c>
      <c r="C58" s="518"/>
      <c r="D58" s="518"/>
      <c r="E58" s="518"/>
      <c r="F58" s="519"/>
      <c r="G58" s="517" t="s">
        <v>56</v>
      </c>
      <c r="H58" s="518"/>
      <c r="I58" s="518"/>
      <c r="J58" s="519"/>
      <c r="K58" s="517" t="s">
        <v>51</v>
      </c>
      <c r="L58" s="518"/>
      <c r="M58" s="518"/>
      <c r="N58" s="520"/>
      <c r="O58" s="56"/>
      <c r="P58" s="50"/>
    </row>
    <row r="59" spans="2:58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8">
      <c r="B60" s="29" t="s">
        <v>6</v>
      </c>
      <c r="C60" s="65">
        <f>L54</f>
        <v>12.136752136752136</v>
      </c>
      <c r="D60" s="76">
        <v>8.0540400103923098</v>
      </c>
      <c r="E60" s="76">
        <v>7.280104789387126</v>
      </c>
      <c r="F60" s="66">
        <v>4.8</v>
      </c>
      <c r="G60" s="65">
        <f>[31]March_2025!$AB$11</f>
        <v>13.06088014825878</v>
      </c>
      <c r="H60" s="76">
        <v>8.8330097895777069</v>
      </c>
      <c r="I60" s="76">
        <v>7.8186094662950509</v>
      </c>
      <c r="J60" s="66">
        <v>4.8</v>
      </c>
      <c r="K60" s="67">
        <f>K54</f>
        <v>0.42833333333333334</v>
      </c>
      <c r="L60" s="194">
        <v>0.65312101960146651</v>
      </c>
      <c r="M60" s="194">
        <v>0.78806957217364393</v>
      </c>
      <c r="N60" s="68">
        <v>1</v>
      </c>
      <c r="O60" s="56"/>
      <c r="P60" s="69"/>
    </row>
    <row r="61" spans="2:58">
      <c r="B61" s="33" t="s">
        <v>9</v>
      </c>
      <c r="C61" s="65">
        <f>L56</f>
        <v>3.0134211192706961</v>
      </c>
      <c r="D61" s="76">
        <v>7.9655471723309335</v>
      </c>
      <c r="E61" s="76">
        <v>7.1359671394026973</v>
      </c>
      <c r="F61" s="66">
        <v>4.8</v>
      </c>
      <c r="G61" s="65">
        <f>[31]March_2025!$AB$21</f>
        <v>3.0919527620890888</v>
      </c>
      <c r="H61" s="76">
        <v>8.8444569053591984</v>
      </c>
      <c r="I61" s="76">
        <v>7.4685121493758038</v>
      </c>
      <c r="J61" s="66">
        <v>4.8</v>
      </c>
      <c r="K61" s="67">
        <f>K56</f>
        <v>0.95750000000000002</v>
      </c>
      <c r="L61" s="194">
        <v>0.8286568662303172</v>
      </c>
      <c r="M61" s="194">
        <v>0.74260444492159683</v>
      </c>
      <c r="N61" s="68">
        <v>1</v>
      </c>
      <c r="P61" s="69"/>
    </row>
    <row r="62" spans="2:58">
      <c r="B62" s="34" t="s">
        <v>40</v>
      </c>
      <c r="C62" s="65"/>
      <c r="D62" s="76">
        <v>10.435585654917661</v>
      </c>
      <c r="E62" s="76">
        <v>12.471734214646009</v>
      </c>
      <c r="F62" s="66">
        <v>5.5</v>
      </c>
      <c r="G62" s="65"/>
      <c r="H62" s="76">
        <v>12.668687929841122</v>
      </c>
      <c r="I62" s="76">
        <v>14.436247754556394</v>
      </c>
      <c r="J62" s="66">
        <v>5.5</v>
      </c>
      <c r="K62" s="67"/>
      <c r="L62" s="194">
        <v>0.54249999999999998</v>
      </c>
      <c r="M62" s="194">
        <v>0.52401498127340829</v>
      </c>
      <c r="N62" s="68">
        <v>1</v>
      </c>
      <c r="P62" s="69"/>
    </row>
    <row r="63" spans="2:58">
      <c r="B63" s="22" t="s">
        <v>33</v>
      </c>
      <c r="C63" s="65"/>
      <c r="D63" s="76"/>
      <c r="E63" s="76">
        <v>3.9190537266638161</v>
      </c>
      <c r="F63" s="66">
        <v>3.3</v>
      </c>
      <c r="G63" s="65"/>
      <c r="H63" s="76"/>
      <c r="I63" s="76">
        <v>5.345661717473071</v>
      </c>
      <c r="J63" s="66">
        <v>3.3</v>
      </c>
      <c r="K63" s="67"/>
      <c r="L63" s="194"/>
      <c r="M63" s="194">
        <v>0.78853801169590654</v>
      </c>
      <c r="N63" s="68">
        <v>1</v>
      </c>
      <c r="P63" s="69"/>
    </row>
    <row r="64" spans="2:58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8.7664670658682695</v>
      </c>
      <c r="F65" s="70">
        <f>[21]May_2022!$M$43</f>
        <v>3.4878406700073312</v>
      </c>
      <c r="G65" s="282"/>
      <c r="H65" s="76"/>
      <c r="I65" s="76">
        <v>10.607235567685406</v>
      </c>
      <c r="J65" s="66">
        <v>5.5</v>
      </c>
      <c r="K65" s="67"/>
      <c r="L65" s="194"/>
      <c r="M65" s="194">
        <v>0.66824561403508764</v>
      </c>
      <c r="N65" s="68">
        <v>1</v>
      </c>
      <c r="P65" s="69"/>
    </row>
    <row r="66" spans="2:16">
      <c r="B66" s="37" t="s">
        <v>16</v>
      </c>
      <c r="C66" s="65"/>
      <c r="D66" s="76">
        <v>3.0622243998040313</v>
      </c>
      <c r="E66" s="76">
        <v>2.5618217399039276</v>
      </c>
      <c r="F66" s="66">
        <v>3.3</v>
      </c>
      <c r="G66" s="282"/>
      <c r="H66" s="76">
        <v>4.90230047253743</v>
      </c>
      <c r="I66" s="76">
        <v>4.6996399261015078</v>
      </c>
      <c r="J66" s="66">
        <v>3.3</v>
      </c>
      <c r="K66" s="67"/>
      <c r="L66" s="194">
        <v>0.98924999999999996</v>
      </c>
      <c r="M66" s="194">
        <v>0.86251968503937015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37" t="s">
        <v>165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7.9353892455094295</v>
      </c>
      <c r="E69" s="76">
        <v>7.3137966479854599</v>
      </c>
      <c r="F69" s="341">
        <v>4.5</v>
      </c>
      <c r="H69" s="76">
        <v>9.0773126089816145</v>
      </c>
      <c r="I69" s="76">
        <v>8.2348352818994108</v>
      </c>
      <c r="J69" s="341">
        <v>4.5</v>
      </c>
      <c r="L69" s="194">
        <v>0.71684345869495336</v>
      </c>
      <c r="M69" s="194">
        <v>0.74266976440857591</v>
      </c>
      <c r="N69" s="386">
        <v>1</v>
      </c>
    </row>
    <row r="73" spans="2:16">
      <c r="F73" s="315"/>
    </row>
    <row r="81" spans="30:30">
      <c r="AD81" s="275" t="s">
        <v>57</v>
      </c>
    </row>
  </sheetData>
  <mergeCells count="52">
    <mergeCell ref="V1:W1"/>
    <mergeCell ref="X1:Y1"/>
    <mergeCell ref="Z1:AA1"/>
    <mergeCell ref="B2:O2"/>
    <mergeCell ref="C5:D5"/>
    <mergeCell ref="M4:N4"/>
    <mergeCell ref="T1:U1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D47:E47"/>
    <mergeCell ref="B52:B53"/>
    <mergeCell ref="C52:C53"/>
    <mergeCell ref="D52:D53"/>
    <mergeCell ref="E52:E53"/>
    <mergeCell ref="M52:M53"/>
    <mergeCell ref="B58:F58"/>
    <mergeCell ref="G58:J58"/>
    <mergeCell ref="K58:N58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706" priority="127" operator="notBetween">
      <formula>#REF!</formula>
      <formula>#REF!</formula>
    </cfRule>
  </conditionalFormatting>
  <conditionalFormatting sqref="C51">
    <cfRule type="cellIs" dxfId="705" priority="158" stopIfTrue="1" operator="lessThan">
      <formula>96</formula>
    </cfRule>
    <cfRule type="cellIs" dxfId="704" priority="159" stopIfTrue="1" operator="greaterThan">
      <formula>100</formula>
    </cfRule>
  </conditionalFormatting>
  <conditionalFormatting sqref="C60">
    <cfRule type="cellIs" dxfId="703" priority="82" stopIfTrue="1" operator="greaterThan">
      <formula>$F60</formula>
    </cfRule>
  </conditionalFormatting>
  <conditionalFormatting sqref="C60:C61">
    <cfRule type="cellIs" dxfId="702" priority="83" stopIfTrue="1" operator="lessThanOrEqual">
      <formula>0</formula>
    </cfRule>
  </conditionalFormatting>
  <conditionalFormatting sqref="C61">
    <cfRule type="cellIs" dxfId="701" priority="162" stopIfTrue="1" operator="greaterThan">
      <formula>$F60</formula>
    </cfRule>
  </conditionalFormatting>
  <conditionalFormatting sqref="C62:C64">
    <cfRule type="cellIs" dxfId="700" priority="107" stopIfTrue="1" operator="greaterThan">
      <formula>$F62</formula>
    </cfRule>
  </conditionalFormatting>
  <conditionalFormatting sqref="C62:C65">
    <cfRule type="cellIs" dxfId="699" priority="111" stopIfTrue="1" operator="lessThanOrEqual">
      <formula>0</formula>
    </cfRule>
  </conditionalFormatting>
  <conditionalFormatting sqref="C65">
    <cfRule type="cellIs" dxfId="698" priority="110" stopIfTrue="1" operator="greaterThan">
      <formula>$J65</formula>
    </cfRule>
  </conditionalFormatting>
  <conditionalFormatting sqref="C71:C75">
    <cfRule type="cellIs" dxfId="697" priority="150" stopIfTrue="1" operator="lessThanOrEqual">
      <formula>0</formula>
    </cfRule>
  </conditionalFormatting>
  <conditionalFormatting sqref="C72:C75">
    <cfRule type="cellIs" dxfId="696" priority="149" stopIfTrue="1" operator="greaterThan">
      <formula>$F$71</formula>
    </cfRule>
  </conditionalFormatting>
  <conditionalFormatting sqref="C77">
    <cfRule type="cellIs" dxfId="695" priority="152" stopIfTrue="1" operator="lessThanOrEqual">
      <formula>0</formula>
    </cfRule>
    <cfRule type="cellIs" dxfId="694" priority="151" stopIfTrue="1" operator="greaterThan">
      <formula>$F$71</formula>
    </cfRule>
  </conditionalFormatting>
  <conditionalFormatting sqref="C71:D71 D73:D79">
    <cfRule type="cellIs" dxfId="693" priority="144" stopIfTrue="1" operator="greaterThan">
      <formula>4.5</formula>
    </cfRule>
  </conditionalFormatting>
  <conditionalFormatting sqref="D47:D48">
    <cfRule type="cellIs" dxfId="692" priority="128" operator="notBetween">
      <formula>#REF!</formula>
      <formula>#REF!</formula>
    </cfRule>
  </conditionalFormatting>
  <conditionalFormatting sqref="D60:D67">
    <cfRule type="cellIs" dxfId="691" priority="121" stopIfTrue="1" operator="lessThanOrEqual">
      <formula>0</formula>
    </cfRule>
  </conditionalFormatting>
  <conditionalFormatting sqref="D68">
    <cfRule type="cellIs" dxfId="690" priority="120" stopIfTrue="1" operator="lessThanOrEqual">
      <formula>0</formula>
    </cfRule>
  </conditionalFormatting>
  <conditionalFormatting sqref="D71 D73:D79">
    <cfRule type="cellIs" dxfId="689" priority="145" stopIfTrue="1" operator="lessThanOrEqual">
      <formula>0</formula>
    </cfRule>
  </conditionalFormatting>
  <conditionalFormatting sqref="D72">
    <cfRule type="cellIs" dxfId="688" priority="137" stopIfTrue="1" operator="lessThanOrEqual">
      <formula>0</formula>
    </cfRule>
    <cfRule type="cellIs" dxfId="687" priority="136" stopIfTrue="1" operator="greaterThan">
      <formula>$F$71</formula>
    </cfRule>
  </conditionalFormatting>
  <conditionalFormatting sqref="D60:E69">
    <cfRule type="cellIs" dxfId="686" priority="79" stopIfTrue="1" operator="greaterThan">
      <formula>$F60</formula>
    </cfRule>
  </conditionalFormatting>
  <conditionalFormatting sqref="D69:E69">
    <cfRule type="cellIs" dxfId="685" priority="80" stopIfTrue="1" operator="lessThanOrEqual">
      <formula>0</formula>
    </cfRule>
  </conditionalFormatting>
  <conditionalFormatting sqref="E10:E22">
    <cfRule type="cellIs" dxfId="684" priority="70" operator="lessThan">
      <formula>48</formula>
    </cfRule>
  </conditionalFormatting>
  <conditionalFormatting sqref="E51">
    <cfRule type="cellIs" dxfId="683" priority="139" stopIfTrue="1" operator="greaterThan">
      <formula>100</formula>
    </cfRule>
    <cfRule type="cellIs" dxfId="682" priority="138" stopIfTrue="1" operator="lessThan">
      <formula>96.8</formula>
    </cfRule>
  </conditionalFormatting>
  <conditionalFormatting sqref="E60:E68">
    <cfRule type="cellIs" dxfId="681" priority="115" stopIfTrue="1" operator="lessThanOrEqual">
      <formula>0</formula>
    </cfRule>
  </conditionalFormatting>
  <conditionalFormatting sqref="E71:E79">
    <cfRule type="cellIs" dxfId="680" priority="130" stopIfTrue="1" operator="greaterThan">
      <formula>4.5</formula>
    </cfRule>
    <cfRule type="cellIs" dxfId="679" priority="131" stopIfTrue="1" operator="lessThanOrEqual">
      <formula>0</formula>
    </cfRule>
  </conditionalFormatting>
  <conditionalFormatting sqref="E50:F51">
    <cfRule type="cellIs" dxfId="678" priority="140" stopIfTrue="1" operator="lessThan">
      <formula>96.5</formula>
    </cfRule>
    <cfRule type="cellIs" dxfId="677" priority="141" stopIfTrue="1" operator="greaterThan">
      <formula>100</formula>
    </cfRule>
  </conditionalFormatting>
  <conditionalFormatting sqref="F10:F21">
    <cfRule type="cellIs" dxfId="676" priority="72" operator="greaterThan">
      <formula>60</formula>
    </cfRule>
  </conditionalFormatting>
  <conditionalFormatting sqref="F22">
    <cfRule type="cellIs" dxfId="675" priority="165" operator="greaterThan">
      <formula>$AA22</formula>
    </cfRule>
    <cfRule type="cellIs" dxfId="674" priority="166" operator="greaterThan">
      <formula>$AA57</formula>
    </cfRule>
  </conditionalFormatting>
  <conditionalFormatting sqref="F51">
    <cfRule type="cellIs" dxfId="673" priority="157" stopIfTrue="1" operator="greaterThan">
      <formula>100</formula>
    </cfRule>
    <cfRule type="cellIs" dxfId="672" priority="156" stopIfTrue="1" operator="lessThan">
      <formula>96.8</formula>
    </cfRule>
  </conditionalFormatting>
  <conditionalFormatting sqref="F69">
    <cfRule type="cellIs" dxfId="671" priority="116" stopIfTrue="1" operator="greaterThan">
      <formula>$F69</formula>
    </cfRule>
    <cfRule type="cellIs" dxfId="670" priority="117" stopIfTrue="1" operator="lessThanOrEqual">
      <formula>0</formula>
    </cfRule>
  </conditionalFormatting>
  <conditionalFormatting sqref="G60:G61 C66:C68">
    <cfRule type="cellIs" dxfId="669" priority="123" stopIfTrue="1" operator="lessThanOrEqual">
      <formula>0</formula>
    </cfRule>
    <cfRule type="cellIs" dxfId="668" priority="122" stopIfTrue="1" operator="greaterThan">
      <formula>$F60</formula>
    </cfRule>
  </conditionalFormatting>
  <conditionalFormatting sqref="G60:G61">
    <cfRule type="cellIs" dxfId="667" priority="88" stopIfTrue="1" operator="greaterThan">
      <formula>$F60</formula>
    </cfRule>
    <cfRule type="cellIs" dxfId="666" priority="89" stopIfTrue="1" operator="lessThanOrEqual">
      <formula>0</formula>
    </cfRule>
  </conditionalFormatting>
  <conditionalFormatting sqref="G62">
    <cfRule type="cellIs" dxfId="665" priority="160" stopIfTrue="1" operator="greaterThan">
      <formula>$F61</formula>
    </cfRule>
    <cfRule type="cellIs" dxfId="664" priority="161" stopIfTrue="1" operator="lessThanOrEqual">
      <formula>0</formula>
    </cfRule>
  </conditionalFormatting>
  <conditionalFormatting sqref="G63">
    <cfRule type="cellIs" dxfId="663" priority="119" stopIfTrue="1" operator="lessThanOrEqual">
      <formula>0</formula>
    </cfRule>
    <cfRule type="cellIs" dxfId="662" priority="118" stopIfTrue="1" operator="greaterThan">
      <formula>$F63</formula>
    </cfRule>
  </conditionalFormatting>
  <conditionalFormatting sqref="G64:G68">
    <cfRule type="cellIs" dxfId="661" priority="125" stopIfTrue="1" operator="lessThanOrEqual">
      <formula>0</formula>
    </cfRule>
    <cfRule type="cellIs" dxfId="660" priority="124" stopIfTrue="1" operator="greaterThan">
      <formula>$J64</formula>
    </cfRule>
  </conditionalFormatting>
  <conditionalFormatting sqref="G73:G78 C76 C78">
    <cfRule type="cellIs" dxfId="659" priority="153" stopIfTrue="1" operator="greaterThan">
      <formula>4.5</formula>
    </cfRule>
    <cfRule type="cellIs" dxfId="658" priority="154" stopIfTrue="1" operator="lessThanOrEqual">
      <formula>0</formula>
    </cfRule>
  </conditionalFormatting>
  <conditionalFormatting sqref="G10:H22">
    <cfRule type="expression" dxfId="657" priority="26">
      <formula>IF(+(IF(G10&lt;#REF!,0,IF(G10&gt;#REF!,0,1)))=0,1)</formula>
    </cfRule>
  </conditionalFormatting>
  <conditionalFormatting sqref="G72:H72">
    <cfRule type="cellIs" dxfId="656" priority="135" stopIfTrue="1" operator="lessThanOrEqual">
      <formula>0</formula>
    </cfRule>
    <cfRule type="cellIs" dxfId="655" priority="134" stopIfTrue="1" operator="greaterThan">
      <formula>$F$71</formula>
    </cfRule>
  </conditionalFormatting>
  <conditionalFormatting sqref="H36:H49 G37:G48">
    <cfRule type="cellIs" dxfId="654" priority="132" stopIfTrue="1" operator="greaterThan">
      <formula>0</formula>
    </cfRule>
  </conditionalFormatting>
  <conditionalFormatting sqref="H54">
    <cfRule type="cellIs" dxfId="653" priority="53" stopIfTrue="1" operator="greaterThan">
      <formula>$F$36</formula>
    </cfRule>
    <cfRule type="cellIs" dxfId="652" priority="52" stopIfTrue="1" operator="lessThanOrEqual">
      <formula>0</formula>
    </cfRule>
    <cfRule type="cellIs" dxfId="651" priority="51" stopIfTrue="1" operator="greaterThan">
      <formula>$F$38</formula>
    </cfRule>
    <cfRule type="cellIs" dxfId="650" priority="42" stopIfTrue="1" operator="lessThanOrEqual">
      <formula>0</formula>
    </cfRule>
    <cfRule type="cellIs" dxfId="649" priority="43" stopIfTrue="1" operator="greaterThan">
      <formula>$F$35</formula>
    </cfRule>
    <cfRule type="cellIs" dxfId="648" priority="54" stopIfTrue="1" operator="lessThanOrEqual">
      <formula>0</formula>
    </cfRule>
  </conditionalFormatting>
  <conditionalFormatting sqref="H55">
    <cfRule type="cellIs" dxfId="647" priority="105" stopIfTrue="1" operator="greaterThan">
      <formula>$F$60</formula>
    </cfRule>
    <cfRule type="cellIs" dxfId="646" priority="104" stopIfTrue="1" operator="lessThanOrEqual">
      <formula>0</formula>
    </cfRule>
    <cfRule type="cellIs" dxfId="645" priority="103" stopIfTrue="1" operator="greaterThan">
      <formula>$F$62</formula>
    </cfRule>
    <cfRule type="cellIs" dxfId="644" priority="95" stopIfTrue="1" operator="greaterThan">
      <formula>$F$59</formula>
    </cfRule>
    <cfRule type="cellIs" dxfId="643" priority="94" stopIfTrue="1" operator="lessThanOrEqual">
      <formula>0</formula>
    </cfRule>
    <cfRule type="cellIs" dxfId="642" priority="106" stopIfTrue="1" operator="lessThanOrEqual">
      <formula>0</formula>
    </cfRule>
  </conditionalFormatting>
  <conditionalFormatting sqref="H56">
    <cfRule type="cellIs" dxfId="641" priority="12" stopIfTrue="1" operator="lessThanOrEqual">
      <formula>0</formula>
    </cfRule>
    <cfRule type="cellIs" dxfId="640" priority="11" stopIfTrue="1" operator="greaterThan">
      <formula>$F$38</formula>
    </cfRule>
    <cfRule type="cellIs" dxfId="639" priority="3" stopIfTrue="1" operator="greaterThan">
      <formula>$F$35</formula>
    </cfRule>
    <cfRule type="cellIs" dxfId="638" priority="2" stopIfTrue="1" operator="lessThanOrEqual">
      <formula>0</formula>
    </cfRule>
    <cfRule type="cellIs" dxfId="637" priority="14" stopIfTrue="1" operator="lessThanOrEqual">
      <formula>0</formula>
    </cfRule>
    <cfRule type="cellIs" dxfId="636" priority="13" stopIfTrue="1" operator="greaterThan">
      <formula>$F$36</formula>
    </cfRule>
  </conditionalFormatting>
  <conditionalFormatting sqref="H60:H67">
    <cfRule type="cellIs" dxfId="635" priority="109" stopIfTrue="1" operator="lessThanOrEqual">
      <formula>0</formula>
    </cfRule>
    <cfRule type="cellIs" dxfId="634" priority="108" stopIfTrue="1" operator="greaterThan">
      <formula>$J60</formula>
    </cfRule>
  </conditionalFormatting>
  <conditionalFormatting sqref="H68">
    <cfRule type="cellIs" dxfId="633" priority="112" operator="greaterThan">
      <formula>5.3</formula>
    </cfRule>
  </conditionalFormatting>
  <conditionalFormatting sqref="H71 H73:H79">
    <cfRule type="cellIs" dxfId="632" priority="147" stopIfTrue="1" operator="lessThanOrEqual">
      <formula>0</formula>
    </cfRule>
    <cfRule type="cellIs" dxfId="631" priority="146" stopIfTrue="1" operator="greaterThan">
      <formula>4.5</formula>
    </cfRule>
  </conditionalFormatting>
  <conditionalFormatting sqref="H54:I54">
    <cfRule type="cellIs" dxfId="630" priority="44" stopIfTrue="1" operator="lessThanOrEqual">
      <formula>0</formula>
    </cfRule>
    <cfRule type="cellIs" dxfId="629" priority="41" stopIfTrue="1" operator="greaterThan">
      <formula>$F$37</formula>
    </cfRule>
  </conditionalFormatting>
  <conditionalFormatting sqref="H55:I55">
    <cfRule type="cellIs" dxfId="628" priority="96" stopIfTrue="1" operator="lessThanOrEqual">
      <formula>0</formula>
    </cfRule>
    <cfRule type="cellIs" dxfId="627" priority="93" stopIfTrue="1" operator="greaterThan">
      <formula>$F$61</formula>
    </cfRule>
  </conditionalFormatting>
  <conditionalFormatting sqref="H56:I56">
    <cfRule type="cellIs" dxfId="626" priority="4" stopIfTrue="1" operator="lessThanOrEqual">
      <formula>0</formula>
    </cfRule>
    <cfRule type="cellIs" dxfId="625" priority="1" stopIfTrue="1" operator="greaterThan">
      <formula>$F$37</formula>
    </cfRule>
  </conditionalFormatting>
  <conditionalFormatting sqref="H69:I69">
    <cfRule type="cellIs" dxfId="624" priority="78" stopIfTrue="1" operator="lessThanOrEqual">
      <formula>0</formula>
    </cfRule>
    <cfRule type="cellIs" dxfId="623" priority="77" stopIfTrue="1" operator="greaterThan">
      <formula>$J69</formula>
    </cfRule>
  </conditionalFormatting>
  <conditionalFormatting sqref="I22">
    <cfRule type="cellIs" dxfId="622" priority="87" operator="lessThan">
      <formula>98</formula>
    </cfRule>
    <cfRule type="cellIs" dxfId="621" priority="84" operator="lessThan">
      <formula>97.8</formula>
    </cfRule>
  </conditionalFormatting>
  <conditionalFormatting sqref="I54">
    <cfRule type="cellIs" dxfId="620" priority="45" stopIfTrue="1" operator="greaterThan">
      <formula>$F$35</formula>
    </cfRule>
    <cfRule type="cellIs" dxfId="619" priority="46" stopIfTrue="1" operator="lessThanOrEqual">
      <formula>0</formula>
    </cfRule>
    <cfRule type="cellIs" dxfId="618" priority="47" stopIfTrue="1" operator="greaterThan">
      <formula>$F$37</formula>
    </cfRule>
    <cfRule type="cellIs" dxfId="617" priority="48" stopIfTrue="1" operator="lessThanOrEqual">
      <formula>0</formula>
    </cfRule>
    <cfRule type="cellIs" dxfId="616" priority="49" stopIfTrue="1" operator="greaterThan">
      <formula>$F$35</formula>
    </cfRule>
    <cfRule type="cellIs" dxfId="615" priority="50" stopIfTrue="1" operator="lessThanOrEqual">
      <formula>0</formula>
    </cfRule>
  </conditionalFormatting>
  <conditionalFormatting sqref="I55">
    <cfRule type="cellIs" dxfId="614" priority="102" stopIfTrue="1" operator="lessThanOrEqual">
      <formula>0</formula>
    </cfRule>
    <cfRule type="cellIs" dxfId="613" priority="101" stopIfTrue="1" operator="greaterThan">
      <formula>$F$59</formula>
    </cfRule>
    <cfRule type="cellIs" dxfId="612" priority="99" stopIfTrue="1" operator="greaterThan">
      <formula>$F$61</formula>
    </cfRule>
    <cfRule type="cellIs" dxfId="611" priority="98" stopIfTrue="1" operator="lessThanOrEqual">
      <formula>0</formula>
    </cfRule>
    <cfRule type="cellIs" dxfId="610" priority="97" stopIfTrue="1" operator="greaterThan">
      <formula>$F$59</formula>
    </cfRule>
    <cfRule type="cellIs" dxfId="609" priority="100" stopIfTrue="1" operator="lessThanOrEqual">
      <formula>0</formula>
    </cfRule>
  </conditionalFormatting>
  <conditionalFormatting sqref="I56">
    <cfRule type="cellIs" dxfId="608" priority="6" stopIfTrue="1" operator="lessThanOrEqual">
      <formula>0</formula>
    </cfRule>
    <cfRule type="cellIs" dxfId="607" priority="5" stopIfTrue="1" operator="greaterThan">
      <formula>$F$35</formula>
    </cfRule>
    <cfRule type="cellIs" dxfId="606" priority="7" stopIfTrue="1" operator="greaterThan">
      <formula>$F$37</formula>
    </cfRule>
    <cfRule type="cellIs" dxfId="605" priority="8" stopIfTrue="1" operator="lessThanOrEqual">
      <formula>0</formula>
    </cfRule>
    <cfRule type="cellIs" dxfId="604" priority="9" stopIfTrue="1" operator="greaterThan">
      <formula>$F$35</formula>
    </cfRule>
    <cfRule type="cellIs" dxfId="603" priority="10" stopIfTrue="1" operator="lessThanOrEqual">
      <formula>0</formula>
    </cfRule>
  </conditionalFormatting>
  <conditionalFormatting sqref="I60:I68">
    <cfRule type="cellIs" dxfId="602" priority="113" stopIfTrue="1" operator="greaterThan">
      <formula>$J60</formula>
    </cfRule>
    <cfRule type="cellIs" dxfId="601" priority="114" stopIfTrue="1" operator="lessThanOrEqual">
      <formula>0</formula>
    </cfRule>
  </conditionalFormatting>
  <conditionalFormatting sqref="I71:I79">
    <cfRule type="cellIs" dxfId="600" priority="143" stopIfTrue="1" operator="lessThanOrEqual">
      <formula>0</formula>
    </cfRule>
    <cfRule type="cellIs" dxfId="599" priority="142" stopIfTrue="1" operator="greaterThan">
      <formula>4.5</formula>
    </cfRule>
  </conditionalFormatting>
  <conditionalFormatting sqref="I10:J21">
    <cfRule type="cellIs" dxfId="598" priority="73" operator="lessThan">
      <formula>97.9</formula>
    </cfRule>
  </conditionalFormatting>
  <conditionalFormatting sqref="J22">
    <cfRule type="cellIs" dxfId="597" priority="86" operator="lessThan">
      <formula>97.4</formula>
    </cfRule>
    <cfRule type="cellIs" dxfId="596" priority="85" operator="notBetween">
      <formula>98</formula>
      <formula>99.9</formula>
    </cfRule>
  </conditionalFormatting>
  <conditionalFormatting sqref="J25:J27">
    <cfRule type="cellIs" dxfId="595" priority="57" stopIfTrue="1" operator="lessThan">
      <formula>96.8</formula>
    </cfRule>
    <cfRule type="cellIs" dxfId="594" priority="58" stopIfTrue="1" operator="greaterThan">
      <formula>100</formula>
    </cfRule>
    <cfRule type="cellIs" dxfId="593" priority="59" operator="lessThan">
      <formula>98</formula>
    </cfRule>
  </conditionalFormatting>
  <conditionalFormatting sqref="J25:J29">
    <cfRule type="cellIs" dxfId="592" priority="56" operator="lessThan">
      <formula>97.4</formula>
    </cfRule>
  </conditionalFormatting>
  <conditionalFormatting sqref="J30">
    <cfRule type="cellIs" dxfId="591" priority="60" operator="lessThan">
      <formula>98</formula>
    </cfRule>
  </conditionalFormatting>
  <conditionalFormatting sqref="J31:J33">
    <cfRule type="cellIs" dxfId="590" priority="61" stopIfTrue="1" operator="lessThan">
      <formula>96.8</formula>
    </cfRule>
    <cfRule type="cellIs" dxfId="589" priority="62" stopIfTrue="1" operator="greaterThan">
      <formula>100</formula>
    </cfRule>
  </conditionalFormatting>
  <conditionalFormatting sqref="J31:J34">
    <cfRule type="cellIs" dxfId="588" priority="63" operator="lessThan">
      <formula>98</formula>
    </cfRule>
  </conditionalFormatting>
  <conditionalFormatting sqref="J69">
    <cfRule type="cellIs" dxfId="587" priority="75" stopIfTrue="1" operator="lessThanOrEqual">
      <formula>0</formula>
    </cfRule>
    <cfRule type="cellIs" dxfId="586" priority="74" stopIfTrue="1" operator="greaterThan">
      <formula>$F69</formula>
    </cfRule>
  </conditionalFormatting>
  <conditionalFormatting sqref="K10:K22">
    <cfRule type="cellIs" dxfId="585" priority="66" operator="greaterThan">
      <formula>6</formula>
    </cfRule>
    <cfRule type="cellIs" dxfId="584" priority="67" operator="lessThan">
      <formula>4</formula>
    </cfRule>
    <cfRule type="cellIs" dxfId="583" priority="71" operator="greaterThan">
      <formula>6.4</formula>
    </cfRule>
  </conditionalFormatting>
  <conditionalFormatting sqref="K39:K48">
    <cfRule type="cellIs" dxfId="582" priority="55" operator="notEqual">
      <formula>#REF!</formula>
    </cfRule>
  </conditionalFormatting>
  <conditionalFormatting sqref="K54:K56 K60:N68">
    <cfRule type="cellIs" dxfId="581" priority="126" stopIfTrue="1" operator="lessThan">
      <formula>100%</formula>
    </cfRule>
  </conditionalFormatting>
  <conditionalFormatting sqref="K71:K76">
    <cfRule type="cellIs" dxfId="580" priority="148" stopIfTrue="1" operator="lessThan">
      <formula>100%</formula>
    </cfRule>
  </conditionalFormatting>
  <conditionalFormatting sqref="K78:K79">
    <cfRule type="cellIs" dxfId="579" priority="155" stopIfTrue="1" operator="lessThan">
      <formula>100%</formula>
    </cfRule>
  </conditionalFormatting>
  <conditionalFormatting sqref="L10:L22">
    <cfRule type="cellIs" dxfId="578" priority="68" operator="between">
      <formula>61</formula>
      <formula>65</formula>
    </cfRule>
    <cfRule type="cellIs" dxfId="577" priority="69" operator="greaterThan">
      <formula>65</formula>
    </cfRule>
  </conditionalFormatting>
  <conditionalFormatting sqref="L25:M36">
    <cfRule type="cellIs" dxfId="576" priority="81" operator="lessThan">
      <formula>98</formula>
    </cfRule>
  </conditionalFormatting>
  <conditionalFormatting sqref="L40:N40">
    <cfRule type="cellIs" dxfId="575" priority="90" operator="notEqual">
      <formula>#REF!</formula>
    </cfRule>
  </conditionalFormatting>
  <conditionalFormatting sqref="L69:N69">
    <cfRule type="cellIs" dxfId="574" priority="76" stopIfTrue="1" operator="lessThan">
      <formula>100%</formula>
    </cfRule>
  </conditionalFormatting>
  <conditionalFormatting sqref="L71:N79">
    <cfRule type="cellIs" dxfId="573" priority="133" stopIfTrue="1" operator="lessThan">
      <formula>100%</formula>
    </cfRule>
  </conditionalFormatting>
  <conditionalFormatting sqref="M10:M22">
    <cfRule type="expression" dxfId="572" priority="64">
      <formula>IF(+(IF(M10&lt;V10,0,IF(M10&gt;W10,0,1)))=0,1)</formula>
    </cfRule>
  </conditionalFormatting>
  <conditionalFormatting sqref="M6:N6">
    <cfRule type="cellIs" dxfId="571" priority="92" operator="greaterThanOrEqual">
      <formula>19</formula>
    </cfRule>
    <cfRule type="cellIs" dxfId="570" priority="91" operator="greaterThanOrEqual">
      <formula>15</formula>
    </cfRule>
  </conditionalFormatting>
  <conditionalFormatting sqref="N10:N22">
    <cfRule type="expression" dxfId="569" priority="65">
      <formula>IF(+(IF(N10&lt;X10,0,IF(N10&gt;Y10,0,1)))=0,1)</formula>
    </cfRule>
  </conditionalFormatting>
  <conditionalFormatting sqref="N22">
    <cfRule type="expression" dxfId="568" priority="163">
      <formula>IF(+(IF(N22&lt;X62,0,IF(N22&gt;Y62,0,1)))=0,1)</formula>
    </cfRule>
    <cfRule type="expression" dxfId="567" priority="164">
      <formula>IF(+(IF(N22&lt;X57,0,IF(N22&gt;Y57,0,1)))=0,1)</formula>
    </cfRule>
  </conditionalFormatting>
  <conditionalFormatting sqref="P6">
    <cfRule type="cellIs" dxfId="566" priority="129" operator="greaterThanOrEqual">
      <formula>19</formula>
    </cfRule>
  </conditionalFormatting>
  <dataValidations count="1">
    <dataValidation type="list" allowBlank="1" showInputMessage="1" showErrorMessage="1" sqref="S8 B22" xr:uid="{D03EA0B0-A936-4378-8393-C818608062AD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18A7-2522-4E09-9726-45A52DC632DC}">
  <sheetPr>
    <pageSetUpPr fitToPage="1"/>
  </sheetPr>
  <dimension ref="A1:BF81"/>
  <sheetViews>
    <sheetView topLeftCell="A8" zoomScale="80" zoomScaleNormal="80" workbookViewId="0">
      <selection activeCell="D19" sqref="D19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205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45743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204</v>
      </c>
      <c r="K6" s="404"/>
      <c r="L6" s="311" t="s">
        <v>14</v>
      </c>
      <c r="M6" s="340">
        <v>14</v>
      </c>
      <c r="N6" s="340">
        <v>16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[23]Brewhouse!$A326</f>
        <v>CA223</v>
      </c>
      <c r="D10" s="279">
        <f>[23]Brewhouse!$AF326</f>
        <v>53.3</v>
      </c>
      <c r="E10" s="279">
        <f>[23]Brewhouse!$AI326</f>
        <v>49.7</v>
      </c>
      <c r="F10" s="278">
        <f>[23]Brewhouse!$V326</f>
        <v>60</v>
      </c>
      <c r="G10" s="279">
        <f>[23]Brewhouse!$AG326</f>
        <v>12</v>
      </c>
      <c r="H10" s="367"/>
      <c r="I10" s="368">
        <f>[23]Brewhouse!$AU326</f>
        <v>97.820735625935143</v>
      </c>
      <c r="J10" s="368">
        <f>[23]Brewhouse!$AV326</f>
        <v>99.169669914295739</v>
      </c>
      <c r="K10" s="281">
        <f>[23]Brewhouse!$Q326</f>
        <v>6.6547406082289786</v>
      </c>
      <c r="L10" s="276">
        <f>[23]Brewhouse!$P326</f>
        <v>57</v>
      </c>
      <c r="M10" s="397">
        <f>[23]Brewhouse!$U326-[23]Brewhouse!$T326</f>
        <v>0.10486111111111107</v>
      </c>
      <c r="N10" s="370">
        <f>[23]Brewhouse!$Z326</f>
        <v>0.2548611111111112</v>
      </c>
      <c r="O10" s="371" t="str">
        <f>[23]Brewhouse!$AX326</f>
        <v>R.Sookram</v>
      </c>
      <c r="P10" s="441"/>
      <c r="Q10" s="347"/>
      <c r="S10" s="277" t="str">
        <f t="shared" ref="S10:S24" si="0">B10</f>
        <v>CARIB</v>
      </c>
      <c r="T10" s="296">
        <f t="shared" ref="T10:T24" si="1">VLOOKUP($B10,$S$3:$Y$9,2,FALSE)</f>
        <v>11.6</v>
      </c>
      <c r="U10" s="296">
        <f t="shared" ref="U10:U24" si="2">VLOOKUP($B10,$S$3:$Y$9,3,FALSE)</f>
        <v>12</v>
      </c>
      <c r="V10" s="297">
        <f t="shared" ref="V10:V24" si="3">VLOOKUP($B10,$S$3:$Y$9,4,FALSE)</f>
        <v>0</v>
      </c>
      <c r="W10" s="297">
        <f t="shared" ref="W10:W24" si="4">VLOOKUP($B10,$S$3:$Y$9,5,FALSE)</f>
        <v>0.118055555555556</v>
      </c>
      <c r="X10" s="297">
        <f t="shared" ref="X10:X24" si="5">VLOOKUP($B10,$S$3:$Y$9,6,FALSE)</f>
        <v>0.22569444444444445</v>
      </c>
      <c r="Y10" s="297">
        <f t="shared" ref="Y10:Y24" si="6">VLOOKUP($B10,$S$3:$Y$9,7,FALSE)</f>
        <v>0.2638888888888889</v>
      </c>
      <c r="Z10" s="297">
        <f t="shared" ref="Z10:Z24" si="7">VLOOKUP($B10,$S$3:$AA$9,8,FALSE)</f>
        <v>0</v>
      </c>
      <c r="AA10" s="296">
        <f t="shared" ref="AA10:AA24" si="8">VLOOKUP($B10,$S$3:$AA$9,9,FALSE)</f>
        <v>60</v>
      </c>
    </row>
    <row r="11" spans="2:30" ht="15.75" customHeight="1">
      <c r="B11" s="29" t="s">
        <v>6</v>
      </c>
      <c r="C11" s="366" t="str">
        <f>[23]Brewhouse!$A327</f>
        <v>CA224</v>
      </c>
      <c r="D11" s="279">
        <f>[23]Brewhouse!$AF327</f>
        <v>53.5</v>
      </c>
      <c r="E11" s="279">
        <f>[23]Brewhouse!$AI327</f>
        <v>50.2</v>
      </c>
      <c r="F11" s="278">
        <f>[23]Brewhouse!$V327</f>
        <v>63</v>
      </c>
      <c r="G11" s="279">
        <f>[23]Brewhouse!$AG327</f>
        <v>11.9</v>
      </c>
      <c r="H11" s="396">
        <v>12</v>
      </c>
      <c r="I11" s="368">
        <f>[23]Brewhouse!$AU327</f>
        <v>98.296844040938197</v>
      </c>
      <c r="J11" s="368">
        <f>[23]Brewhouse!$AV327</f>
        <v>99.655584788328127</v>
      </c>
      <c r="K11" s="281">
        <f>[23]Brewhouse!$Q327</f>
        <v>7.5222816399286963</v>
      </c>
      <c r="L11" s="276">
        <f>[23]Brewhouse!$P327</f>
        <v>58</v>
      </c>
      <c r="M11" s="397">
        <f>[23]Brewhouse!$U327-[23]Brewhouse!$T327</f>
        <v>0.11249999999999999</v>
      </c>
      <c r="N11" s="370">
        <f>[23]Brewhouse!$Z327</f>
        <v>0.24999999999999997</v>
      </c>
      <c r="O11" s="371" t="str">
        <f>[23]Brewhouse!$AX327</f>
        <v>K.Benjamin</v>
      </c>
      <c r="P11" s="441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[23]Brewhouse!$A328</f>
        <v>CA225</v>
      </c>
      <c r="D12" s="279">
        <f>[23]Brewhouse!$AF328</f>
        <v>53</v>
      </c>
      <c r="E12" s="279">
        <f>[23]Brewhouse!$AI328</f>
        <v>49.5</v>
      </c>
      <c r="F12" s="278">
        <f>[23]Brewhouse!$V328</f>
        <v>68</v>
      </c>
      <c r="G12" s="279">
        <f>[23]Brewhouse!$AG328</f>
        <v>11.9</v>
      </c>
      <c r="H12" s="396">
        <v>12</v>
      </c>
      <c r="I12" s="368">
        <f>[23]Brewhouse!$AU328</f>
        <v>97.046163433641169</v>
      </c>
      <c r="J12" s="368">
        <f>[23]Brewhouse!$AV328</f>
        <v>98.387547395729385</v>
      </c>
      <c r="K12" s="281">
        <f>[23]Brewhouse!$Q328</f>
        <v>6.4758497316636809</v>
      </c>
      <c r="L12" s="276">
        <f>[23]Brewhouse!$P328</f>
        <v>62</v>
      </c>
      <c r="M12" s="397">
        <f>[23]Brewhouse!$U328-[23]Brewhouse!$T328</f>
        <v>0.11319444444444449</v>
      </c>
      <c r="N12" s="370">
        <f>[23]Brewhouse!$Z328</f>
        <v>0.25416666666666671</v>
      </c>
      <c r="O12" s="371" t="str">
        <f>[23]Brewhouse!$AX328</f>
        <v>K.Benjamin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 t="s">
        <v>6</v>
      </c>
      <c r="C13" s="366" t="str">
        <f>[23]Brewhouse!$A329</f>
        <v>CA226</v>
      </c>
      <c r="D13" s="279">
        <f>[23]Brewhouse!$AF329</f>
        <v>53.3</v>
      </c>
      <c r="E13" s="279">
        <f>[23]Brewhouse!$AI329</f>
        <v>50.1</v>
      </c>
      <c r="F13" s="278">
        <f>[23]Brewhouse!$V329</f>
        <v>70</v>
      </c>
      <c r="G13" s="279">
        <f>[23]Brewhouse!$AG329</f>
        <v>11.9</v>
      </c>
      <c r="H13" s="396">
        <v>11.8</v>
      </c>
      <c r="I13" s="368">
        <f>[23]Brewhouse!$AU329</f>
        <v>98.107009642147446</v>
      </c>
      <c r="J13" s="368">
        <f>[23]Brewhouse!$AV329</f>
        <v>99.459671099355447</v>
      </c>
      <c r="K13" s="281">
        <f>[23]Brewhouse!$Q329</f>
        <v>4.9186256781193469</v>
      </c>
      <c r="L13" s="276">
        <f>[23]Brewhouse!$P329</f>
        <v>61</v>
      </c>
      <c r="M13" s="397">
        <f>[23]Brewhouse!$U329-[23]Brewhouse!$T329</f>
        <v>0.11875000000000002</v>
      </c>
      <c r="N13" s="370">
        <f>[23]Brewhouse!$Z329</f>
        <v>0.25347222222222227</v>
      </c>
      <c r="O13" s="371" t="str">
        <f>[23]Brewhouse!$AX329</f>
        <v>K.Benjamin</v>
      </c>
      <c r="P13" s="441"/>
      <c r="Q13" s="347"/>
      <c r="S13" s="277" t="str">
        <f t="shared" si="0"/>
        <v>CARIB</v>
      </c>
      <c r="T13" s="296">
        <f t="shared" si="1"/>
        <v>11.6</v>
      </c>
      <c r="U13" s="296">
        <f t="shared" si="2"/>
        <v>12</v>
      </c>
      <c r="V13" s="297">
        <f t="shared" si="3"/>
        <v>0</v>
      </c>
      <c r="W13" s="297">
        <f t="shared" si="4"/>
        <v>0.118055555555556</v>
      </c>
      <c r="X13" s="297">
        <f t="shared" si="5"/>
        <v>0.22569444444444445</v>
      </c>
      <c r="Y13" s="297">
        <f t="shared" si="6"/>
        <v>0.2638888888888889</v>
      </c>
      <c r="Z13" s="297">
        <f t="shared" si="7"/>
        <v>0</v>
      </c>
      <c r="AA13" s="296">
        <f t="shared" si="8"/>
        <v>60</v>
      </c>
    </row>
    <row r="14" spans="2:30" ht="15.75" customHeight="1">
      <c r="B14" s="29" t="s">
        <v>6</v>
      </c>
      <c r="C14" s="366" t="str">
        <f>[23]Brewhouse!$A330</f>
        <v>CA227</v>
      </c>
      <c r="D14" s="279">
        <f>[23]Brewhouse!$AF330</f>
        <v>53.7</v>
      </c>
      <c r="E14" s="279">
        <f>[23]Brewhouse!$AI330</f>
        <v>50.4</v>
      </c>
      <c r="F14" s="278">
        <f>[23]Brewhouse!$V330</f>
        <v>63</v>
      </c>
      <c r="G14" s="279">
        <f>[23]Brewhouse!$AG330</f>
        <v>11.8</v>
      </c>
      <c r="H14" s="396">
        <v>11.8</v>
      </c>
      <c r="I14" s="368">
        <f>[23]Brewhouse!$AU330</f>
        <v>97.822477372642041</v>
      </c>
      <c r="J14" s="368">
        <f>[23]Brewhouse!$AV330</f>
        <v>99.17121580910262</v>
      </c>
      <c r="K14" s="281">
        <f>[23]Brewhouse!$Q330</f>
        <v>6.2068965517241406</v>
      </c>
      <c r="L14" s="276">
        <f>[23]Brewhouse!$P330</f>
        <v>60</v>
      </c>
      <c r="M14" s="397">
        <f>[23]Brewhouse!$U330-[23]Brewhouse!$T330</f>
        <v>0.11180555555555549</v>
      </c>
      <c r="N14" s="370">
        <f>[23]Brewhouse!$Z330</f>
        <v>0.27430555555555547</v>
      </c>
      <c r="O14" s="371" t="str">
        <f>[23]Brewhouse!$AX330</f>
        <v>R. Regis</v>
      </c>
      <c r="P14" s="441"/>
      <c r="Q14" s="347"/>
      <c r="S14" s="277" t="str">
        <f t="shared" si="0"/>
        <v>CARIB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29" t="s">
        <v>6</v>
      </c>
      <c r="C15" s="366" t="str">
        <f>[23]Brewhouse!$A331</f>
        <v>CA228</v>
      </c>
      <c r="D15" s="279">
        <f>[23]Brewhouse!$AF331</f>
        <v>53.8</v>
      </c>
      <c r="E15" s="279">
        <f>[23]Brewhouse!$AI331</f>
        <v>50.8</v>
      </c>
      <c r="F15" s="278">
        <f>[23]Brewhouse!$V331</f>
        <v>65</v>
      </c>
      <c r="G15" s="279">
        <f>[23]Brewhouse!$AG331</f>
        <v>11.6</v>
      </c>
      <c r="H15" s="396">
        <v>11.7</v>
      </c>
      <c r="I15" s="368">
        <f>[23]Brewhouse!$AU331</f>
        <v>96.841006194248607</v>
      </c>
      <c r="J15" s="368">
        <f>[23]Brewhouse!$AV331</f>
        <v>98.176212486174222</v>
      </c>
      <c r="K15" s="281">
        <f>[23]Brewhouse!$Q331</f>
        <v>5.5516014234875524</v>
      </c>
      <c r="L15" s="276">
        <f>[23]Brewhouse!$P331</f>
        <v>60</v>
      </c>
      <c r="M15" s="397">
        <f>[23]Brewhouse!$U331-[23]Brewhouse!$T331</f>
        <v>0.12083333333333335</v>
      </c>
      <c r="N15" s="370">
        <f>[23]Brewhouse!$Z331</f>
        <v>0.26041666666666663</v>
      </c>
      <c r="O15" s="371" t="str">
        <f>[23]Brewhouse!$AX331</f>
        <v>R. Regis</v>
      </c>
      <c r="P15" s="441"/>
      <c r="Q15" s="347"/>
      <c r="S15" s="277" t="str">
        <f t="shared" si="0"/>
        <v>CARIB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41"/>
      <c r="Q16" s="347"/>
      <c r="S16" s="277"/>
      <c r="T16" s="296"/>
      <c r="U16" s="296"/>
      <c r="V16" s="297"/>
      <c r="W16" s="297"/>
      <c r="X16" s="297"/>
      <c r="Y16" s="297"/>
      <c r="Z16" s="297"/>
      <c r="AA16" s="296"/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41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>
      <c r="B18" s="22" t="s">
        <v>33</v>
      </c>
      <c r="C18" s="366" t="str">
        <f>[26]Brewhouse!A21</f>
        <v>VM015</v>
      </c>
      <c r="D18" s="279">
        <f>[26]Brewhouse!AE21</f>
        <v>51.1</v>
      </c>
      <c r="E18" s="279">
        <f>[26]Brewhouse!AJ21</f>
        <v>49.9</v>
      </c>
      <c r="F18" s="278">
        <f>[26]Brewhouse!X21</f>
        <v>85</v>
      </c>
      <c r="G18" s="279">
        <f>[26]Brewhouse!AH21</f>
        <v>14.3</v>
      </c>
      <c r="H18" s="367"/>
      <c r="I18" s="368">
        <f>[26]Brewhouse!AV21</f>
        <v>101.27863888434283</v>
      </c>
      <c r="J18" s="368">
        <f>[26]Brewhouse!AW21</f>
        <v>101.5680388425275</v>
      </c>
      <c r="K18" s="281">
        <f>[26]Brewhouse!S21</f>
        <v>5.205479452054802</v>
      </c>
      <c r="L18" s="276">
        <f>[26]Brewhouse!R21</f>
        <v>57</v>
      </c>
      <c r="M18" s="374">
        <f>[26]Brewhouse!$W21-[26]Brewhouse!$V21</f>
        <v>0.15208333333333324</v>
      </c>
      <c r="N18" s="370">
        <f>[26]Brewhouse!AB21</f>
        <v>0.28819444444444431</v>
      </c>
      <c r="O18" s="371" t="str">
        <f>[26]Brewhouse!$AZ21</f>
        <v>R.Sookram</v>
      </c>
      <c r="P18" s="441"/>
      <c r="Q18" s="347"/>
      <c r="S18" s="277" t="str">
        <f t="shared" si="0"/>
        <v>VITAMALT</v>
      </c>
      <c r="T18" s="296">
        <f t="shared" si="1"/>
        <v>14.4</v>
      </c>
      <c r="U18" s="296">
        <f t="shared" si="2"/>
        <v>14.6</v>
      </c>
      <c r="V18" s="297">
        <f t="shared" si="3"/>
        <v>0</v>
      </c>
      <c r="W18" s="297">
        <f t="shared" si="4"/>
        <v>0.13905092592592591</v>
      </c>
      <c r="X18" s="297">
        <f t="shared" si="5"/>
        <v>0.26041666666666669</v>
      </c>
      <c r="Y18" s="297">
        <f t="shared" si="6"/>
        <v>0.2951388888888889</v>
      </c>
      <c r="Z18" s="297">
        <f t="shared" si="7"/>
        <v>0</v>
      </c>
      <c r="AA18" s="296">
        <f t="shared" si="8"/>
        <v>75</v>
      </c>
    </row>
    <row r="19" spans="1:27" ht="15.75" customHeight="1">
      <c r="B19" s="22" t="s">
        <v>33</v>
      </c>
      <c r="C19" s="366" t="str">
        <f>[26]Brewhouse!A22</f>
        <v>VM016</v>
      </c>
      <c r="D19" s="279">
        <f>[26]Brewhouse!AE22</f>
        <v>50.6</v>
      </c>
      <c r="E19" s="279">
        <f>[26]Brewhouse!AJ22</f>
        <v>47.9</v>
      </c>
      <c r="F19" s="278">
        <f>[26]Brewhouse!X22</f>
        <v>86</v>
      </c>
      <c r="G19" s="279">
        <f>[26]Brewhouse!AH22</f>
        <v>14.6</v>
      </c>
      <c r="H19" s="367"/>
      <c r="I19" s="368">
        <f>[26]Brewhouse!AV22</f>
        <v>99.303486828954206</v>
      </c>
      <c r="J19" s="368">
        <f>[26]Brewhouse!AW22</f>
        <v>99.588438634055365</v>
      </c>
      <c r="K19" s="281">
        <f>[26]Brewhouse!S22</f>
        <v>1.8972332015810291</v>
      </c>
      <c r="L19" s="276">
        <f>[26]Brewhouse!R22</f>
        <v>57</v>
      </c>
      <c r="M19" s="374">
        <f>[26]Brewhouse!$W22-[26]Brewhouse!$V22</f>
        <v>0.13124999999999987</v>
      </c>
      <c r="N19" s="370">
        <f>[26]Brewhouse!AB22</f>
        <v>0.29027777777777775</v>
      </c>
      <c r="O19" s="371" t="str">
        <f>[26]Brewhouse!$AZ22</f>
        <v>R.Sookram</v>
      </c>
      <c r="P19" s="441"/>
      <c r="Q19" s="347"/>
      <c r="S19" s="277" t="str">
        <f t="shared" si="0"/>
        <v>VITAMALT</v>
      </c>
      <c r="T19" s="296">
        <f t="shared" si="1"/>
        <v>14.4</v>
      </c>
      <c r="U19" s="296">
        <f t="shared" si="2"/>
        <v>14.6</v>
      </c>
      <c r="V19" s="297">
        <f t="shared" si="3"/>
        <v>0</v>
      </c>
      <c r="W19" s="297">
        <f t="shared" si="4"/>
        <v>0.13905092592592591</v>
      </c>
      <c r="X19" s="297">
        <f t="shared" si="5"/>
        <v>0.26041666666666669</v>
      </c>
      <c r="Y19" s="297">
        <f t="shared" si="6"/>
        <v>0.2951388888888889</v>
      </c>
      <c r="Z19" s="297">
        <f t="shared" si="7"/>
        <v>0</v>
      </c>
      <c r="AA19" s="296">
        <f t="shared" si="8"/>
        <v>75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35" t="str">
        <f>I25</f>
        <v>CARIB</v>
      </c>
      <c r="C25" s="362">
        <f>[23]Process!D255</f>
        <v>11.9</v>
      </c>
      <c r="D25" s="485">
        <v>11.73</v>
      </c>
      <c r="E25" s="486"/>
      <c r="F25" s="294"/>
      <c r="G25" s="294"/>
      <c r="H25" s="348"/>
      <c r="I25" s="29" t="s">
        <v>6</v>
      </c>
      <c r="J25" s="280">
        <f>AVERAGE(I10:I15)</f>
        <v>97.655706051592077</v>
      </c>
      <c r="K25" s="284">
        <f>COUNTA([23]Brewhouse!$A$255:$A$331)</f>
        <v>77</v>
      </c>
      <c r="L25" s="302">
        <f>AVERAGE([23]Brewhouse!$AU$255:$AU331)</f>
        <v>98.863665557276391</v>
      </c>
      <c r="M25" s="302">
        <f>AVERAGE([23]Brewhouse!$AU$102:$AU$171,[23]Brewhouse!$AU$173:$AU$253,[23]Brewhouse!$AU$255:$AU$331)</f>
        <v>96.706876759376044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3"/>
      <c r="C26" s="349">
        <f>[23]Process!D256</f>
        <v>11.8</v>
      </c>
      <c r="D26" s="487"/>
      <c r="E26" s="488"/>
      <c r="F26" s="294"/>
      <c r="G26" s="294"/>
      <c r="H26" s="348"/>
      <c r="I26" s="33" t="s">
        <v>9</v>
      </c>
      <c r="J26" s="280"/>
      <c r="K26" s="284">
        <f>COUNTA([24]Brewhouse!$A$105:$A$136)</f>
        <v>32</v>
      </c>
      <c r="L26" s="302">
        <f>AVERAGE([24]Brewhouse!$AS$105:$AS$136)</f>
        <v>98.98059636856776</v>
      </c>
      <c r="M26" s="302">
        <f>AVERAGE([24]Brewhouse!$AS$15:$AS$64,[24]Brewhouse!$AS$66:$AS$103,[24]Brewhouse!$AS$105:$AS$136)</f>
        <v>96.712617129111081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3"/>
      <c r="C27" s="349">
        <f>[23]Process!D257</f>
        <v>11.9</v>
      </c>
      <c r="D27" s="485">
        <v>11.85</v>
      </c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>
        <f>[23]Process!D258</f>
        <v>12.06</v>
      </c>
      <c r="D28" s="487"/>
      <c r="E28" s="488"/>
      <c r="F28" s="294"/>
      <c r="G28" s="294"/>
      <c r="H28" s="348"/>
      <c r="I28" s="22" t="s">
        <v>33</v>
      </c>
      <c r="J28" s="280">
        <f>AVERAGE(I18:I19)</f>
        <v>100.29106285664852</v>
      </c>
      <c r="K28" s="284">
        <f>COUNTA([26]Brewhouse!$A$21:$A$22)</f>
        <v>2</v>
      </c>
      <c r="L28" s="302">
        <f>AVERAGE([26]Brewhouse!$AV$21:$AV$22)</f>
        <v>100.29106285664852</v>
      </c>
      <c r="M28" s="302">
        <f>AVERAGE([26]Brewhouse!$AV$5:$AV$14,[26]Brewhouse!$AV$16:$AV$19,[26]Brewhouse!$AV$21:$AV$22)</f>
        <v>98.488470945682451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3"/>
      <c r="C29" s="349">
        <f>[23]Process!D259</f>
        <v>12</v>
      </c>
      <c r="D29" s="485">
        <v>11.87</v>
      </c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3"/>
      <c r="C30" s="349">
        <f>[23]Process!D260</f>
        <v>11.8</v>
      </c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>
        <f>[23]Process!D261</f>
        <v>11.76</v>
      </c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3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3"/>
      <c r="C35" s="349"/>
      <c r="D35" s="485"/>
      <c r="E35" s="486"/>
      <c r="F35" s="294"/>
      <c r="G35" s="294"/>
      <c r="H35" s="348"/>
      <c r="I35" s="1"/>
      <c r="J35" s="39"/>
      <c r="K35" s="408">
        <f>SUM(K25:K34)</f>
        <v>127</v>
      </c>
      <c r="L35" s="409">
        <f>((L25*K25)+(L26*K26)+(L27*K27)+(L28*K28)+(L29*K29)+(K32*L32)+(L30*K30)+(L31*K31)+(L34*K34))/(K35)</f>
        <v>98.82313972761051</v>
      </c>
      <c r="M35" s="409">
        <f>AVERAGE('[29]Jan 31st'!$L$65,'[30]Feb 28th'!$L$35,L35)</f>
        <v>96.755372051669838</v>
      </c>
      <c r="N35" s="40">
        <v>98</v>
      </c>
      <c r="O35" s="11"/>
      <c r="P35" s="31"/>
      <c r="S35" s="23"/>
    </row>
    <row r="36" spans="1:57" ht="15" thickBot="1">
      <c r="B36" s="534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47"/>
      <c r="C37" s="362"/>
      <c r="D37" s="498"/>
      <c r="E37" s="499"/>
      <c r="F37" s="43"/>
      <c r="G37" s="41"/>
      <c r="H37" s="41"/>
      <c r="I37" s="42"/>
      <c r="J37" s="548" t="s">
        <v>129</v>
      </c>
      <c r="K37" s="54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483"/>
      <c r="C38" s="349"/>
      <c r="D38" s="500"/>
      <c r="E38" s="488"/>
      <c r="F38" s="43"/>
      <c r="G38" s="41"/>
      <c r="H38" s="41"/>
      <c r="I38" s="42"/>
      <c r="J38" s="292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483"/>
      <c r="C39" s="349"/>
      <c r="D39" s="504"/>
      <c r="E39" s="486"/>
      <c r="F39" s="43"/>
      <c r="G39" s="41"/>
      <c r="H39" s="41"/>
      <c r="I39" s="42"/>
      <c r="J39" s="287" t="s">
        <v>6</v>
      </c>
      <c r="K39" s="324">
        <v>6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483"/>
      <c r="C40" s="349"/>
      <c r="D40" s="500"/>
      <c r="E40" s="488"/>
      <c r="F40" s="43"/>
      <c r="G40" s="41"/>
      <c r="H40" s="41"/>
      <c r="I40" s="42"/>
      <c r="J40" s="345" t="s">
        <v>9</v>
      </c>
      <c r="K40" s="324"/>
      <c r="L40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20th'!K49,'Mar. 21th'!K44,'Mar. 24th'!K49,'Mar. 25th'!K49,'Mar. 26th '!K49)</f>
        <v>6.3</v>
      </c>
      <c r="M40" s="325">
        <f>AVERAGE('[29]Jan 29th '!$M$70,'[30]Feb 28th'!$L$40,L40)</f>
        <v>6.6036630036630042</v>
      </c>
      <c r="N40" s="400">
        <v>10</v>
      </c>
      <c r="O40" s="294"/>
      <c r="P40" s="12"/>
      <c r="S40" s="23"/>
    </row>
    <row r="41" spans="1:57" ht="15" customHeight="1">
      <c r="B41" s="483"/>
      <c r="C41" s="349"/>
      <c r="D41" s="504"/>
      <c r="E41" s="486"/>
      <c r="F41" s="43"/>
      <c r="G41" s="41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>
      <c r="B42" s="483"/>
      <c r="C42" s="349"/>
      <c r="D42" s="500"/>
      <c r="E42" s="488"/>
      <c r="F42" s="43"/>
      <c r="G42" s="41"/>
      <c r="H42" s="41"/>
      <c r="I42" s="42"/>
      <c r="J42" s="289" t="s">
        <v>33</v>
      </c>
      <c r="K42" s="324">
        <v>2</v>
      </c>
      <c r="L42" s="294"/>
      <c r="M42" s="294"/>
      <c r="N42" s="294"/>
      <c r="O42" s="294"/>
      <c r="P42" s="12"/>
      <c r="S42" s="23"/>
    </row>
    <row r="43" spans="1:57" ht="14.4">
      <c r="B43" s="483"/>
      <c r="C43" s="349"/>
      <c r="D43" s="504"/>
      <c r="E43" s="486"/>
      <c r="F43" s="43"/>
      <c r="G43" s="41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483"/>
      <c r="C44" s="349"/>
      <c r="D44" s="500"/>
      <c r="E44" s="488"/>
      <c r="F44" s="43"/>
      <c r="G44" s="41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483"/>
      <c r="C45" s="349"/>
      <c r="D45" s="505"/>
      <c r="E45" s="490"/>
      <c r="F45" s="43"/>
      <c r="G45" s="41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484"/>
      <c r="C46" s="350"/>
      <c r="D46" s="506"/>
      <c r="E46" s="507"/>
      <c r="F46" s="43"/>
      <c r="G46" s="41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11.816666666666665</v>
      </c>
      <c r="E47" s="509"/>
      <c r="F47" s="43"/>
      <c r="G47" s="41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 thickBot="1">
      <c r="B54" s="430" t="s">
        <v>64</v>
      </c>
      <c r="C54" s="283">
        <v>45742</v>
      </c>
      <c r="D54" s="377">
        <f>[31]March_2025!$AC$3</f>
        <v>339.72999999999996</v>
      </c>
      <c r="E54" s="378"/>
      <c r="F54" s="379">
        <f>SUM([32]CARIB!$L$52:$L$58)</f>
        <v>332.4</v>
      </c>
      <c r="G54" s="303">
        <f>[31]March_2025!$AC$7</f>
        <v>318.39999999999998</v>
      </c>
      <c r="H54" s="320">
        <f>(D54-F54)/D54*100</f>
        <v>2.1575957377917714</v>
      </c>
      <c r="I54" s="322">
        <f>((F54+E54)-G54)/(F54+E54)*100</f>
        <v>4.2117930204572804</v>
      </c>
      <c r="J54" s="390" t="s">
        <v>201</v>
      </c>
      <c r="K54" s="433">
        <f>[33]March_2025!$AC$18</f>
        <v>0.55859649122807009</v>
      </c>
      <c r="L54" s="314">
        <f>(((D54+E54)-G54)/(D54+E54))*100</f>
        <v>6.2785152915550553</v>
      </c>
      <c r="M54" s="357" t="s">
        <v>207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1.25" customHeight="1" thickBot="1">
      <c r="B55" s="387"/>
      <c r="C55" s="283"/>
      <c r="D55" s="279"/>
      <c r="E55" s="279"/>
      <c r="F55" s="279"/>
      <c r="G55" s="279"/>
      <c r="H55" s="320"/>
      <c r="I55" s="322"/>
      <c r="J55" s="389"/>
      <c r="K55" s="434"/>
      <c r="L55" s="314"/>
      <c r="M55" s="384"/>
      <c r="N55" s="13"/>
      <c r="O55" s="13"/>
      <c r="P55" s="50"/>
      <c r="T55" s="272" t="s">
        <v>51</v>
      </c>
      <c r="U55" s="57" t="e">
        <f>[20]January_2019!D8</f>
        <v>#DIV/0!</v>
      </c>
      <c r="V55" s="57">
        <f>[20]January_2019!E8</f>
        <v>1.0319298245614037</v>
      </c>
      <c r="W55" s="57">
        <f>[20]January_2019!F8</f>
        <v>1.7789473684210526</v>
      </c>
      <c r="X55" s="57">
        <f>[20]January_2019!G8</f>
        <v>0.51929824561403504</v>
      </c>
      <c r="Y55" s="57" t="e">
        <f>[20]January_2019!H8</f>
        <v>#DIV/0!</v>
      </c>
      <c r="Z55" s="57" t="e">
        <f>[20]January_2019!I8</f>
        <v>#DIV/0!</v>
      </c>
      <c r="AA55" s="57">
        <f>[20]January_2019!J8</f>
        <v>1.365263157894737</v>
      </c>
      <c r="AB55" s="57" t="e">
        <f>[20]January_2019!K8</f>
        <v>#DIV/0!</v>
      </c>
      <c r="AC55" s="57">
        <f>[20]January_2019!L8</f>
        <v>1.0028070175438597</v>
      </c>
      <c r="AD55" s="57">
        <f>[20]January_2019!M8</f>
        <v>1.7828070175438597</v>
      </c>
      <c r="AE55" s="57" t="e">
        <f>[20]January_2019!N8</f>
        <v>#DIV/0!</v>
      </c>
      <c r="AF55" s="57" t="e">
        <f>[20]January_2019!O8</f>
        <v>#DIV/0!</v>
      </c>
      <c r="AG55" s="57">
        <f>[20]January_2019!P8</f>
        <v>0.19222222222222221</v>
      </c>
      <c r="AH55" s="57">
        <f>[20]January_2019!Q8</f>
        <v>0.52219298245614032</v>
      </c>
      <c r="AI55" s="57">
        <f>[20]January_2019!R8</f>
        <v>0.42912280701754385</v>
      </c>
      <c r="AJ55" s="57" t="e">
        <f>[20]January_2019!S8</f>
        <v>#DIV/0!</v>
      </c>
      <c r="AK55" s="57">
        <f>[20]January_2019!T8</f>
        <v>1.0340350877192983</v>
      </c>
      <c r="AL55" s="57">
        <f>[20]January_2019!U8</f>
        <v>0.98421052631578942</v>
      </c>
      <c r="AM55" s="57" t="e">
        <f>[20]January_2019!V8</f>
        <v>#DIV/0!</v>
      </c>
      <c r="AN55" s="57" t="e">
        <f>[20]January_2019!W8</f>
        <v>#DIV/0!</v>
      </c>
      <c r="AO55" s="57">
        <f>[20]January_2019!X8</f>
        <v>0.66052631578947374</v>
      </c>
      <c r="AP55" s="57">
        <f>[20]January_2019!Y8</f>
        <v>1.0375438596491227</v>
      </c>
      <c r="AQ55" s="57">
        <f>[20]January_2019!Z8</f>
        <v>0.90456140350877201</v>
      </c>
      <c r="AR55" s="57">
        <f>[20]January_2019!AA8</f>
        <v>1.0217543859649123</v>
      </c>
      <c r="AS55" s="57">
        <f>[20]January_2019!AB8</f>
        <v>0.65614035087719302</v>
      </c>
      <c r="AT55" s="57" t="e">
        <f>[20]January_2019!AC8</f>
        <v>#DIV/0!</v>
      </c>
      <c r="AU55" s="57" t="e">
        <f>[20]January_2019!AD8</f>
        <v>#DIV/0!</v>
      </c>
      <c r="AV55" s="57">
        <f>[20]January_2019!AE8</f>
        <v>1.7021052631578948</v>
      </c>
      <c r="AW55" s="57">
        <f>[20]January_2019!AF8</f>
        <v>0.60192982456140354</v>
      </c>
      <c r="AX55" s="57">
        <f>[20]January_2019!AG8</f>
        <v>1.4870175438596491</v>
      </c>
      <c r="AY55" s="277" t="e">
        <f>[20]January_2019!AH8</f>
        <v>#DIV/0!</v>
      </c>
      <c r="AZ55" s="277"/>
      <c r="BA55" s="277"/>
      <c r="BB55" s="277"/>
      <c r="BC55" s="277"/>
      <c r="BD55" s="277"/>
      <c r="BE55" s="277"/>
      <c r="BF55" s="277"/>
    </row>
    <row r="56" spans="2:58" ht="58.5" hidden="1" customHeight="1" thickBot="1">
      <c r="B56" s="443"/>
      <c r="C56" s="283"/>
      <c r="D56" s="279"/>
      <c r="E56" s="279"/>
      <c r="F56" s="279"/>
      <c r="G56" s="279"/>
      <c r="H56" s="320"/>
      <c r="I56" s="322"/>
      <c r="J56" s="390"/>
      <c r="K56" s="52"/>
      <c r="L56" s="281"/>
      <c r="M56" s="357"/>
      <c r="N56" s="77"/>
      <c r="O56" s="13"/>
      <c r="P56" s="56"/>
    </row>
    <row r="57" spans="2:58" ht="18" customHeight="1" thickBot="1">
      <c r="B57" s="58"/>
      <c r="C57" s="309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9"/>
      <c r="O57" s="56"/>
      <c r="P57" s="60"/>
    </row>
    <row r="58" spans="2:58" ht="14.4" thickBot="1">
      <c r="B58" s="517" t="s">
        <v>55</v>
      </c>
      <c r="C58" s="518"/>
      <c r="D58" s="518"/>
      <c r="E58" s="518"/>
      <c r="F58" s="519"/>
      <c r="G58" s="517" t="s">
        <v>56</v>
      </c>
      <c r="H58" s="518"/>
      <c r="I58" s="518"/>
      <c r="J58" s="519"/>
      <c r="K58" s="517" t="s">
        <v>51</v>
      </c>
      <c r="L58" s="518"/>
      <c r="M58" s="518"/>
      <c r="N58" s="520"/>
      <c r="O58" s="56"/>
      <c r="P58" s="50"/>
    </row>
    <row r="59" spans="2:58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8">
      <c r="B60" s="29" t="s">
        <v>6</v>
      </c>
      <c r="C60" s="65">
        <f>L54</f>
        <v>6.2785152915550553</v>
      </c>
      <c r="D60" s="76">
        <v>7.8552288540324229</v>
      </c>
      <c r="E60" s="76">
        <v>7.2476778327010383</v>
      </c>
      <c r="F60" s="66">
        <v>4.8</v>
      </c>
      <c r="G60" s="65">
        <f>[31]March_2025!$AC$11</f>
        <v>7.0319034322981837</v>
      </c>
      <c r="H60" s="76">
        <v>8.6305092601166997</v>
      </c>
      <c r="I60" s="76">
        <v>7.792969860681465</v>
      </c>
      <c r="J60" s="66">
        <v>4.8</v>
      </c>
      <c r="K60" s="67">
        <f>K54</f>
        <v>0.55859649122807009</v>
      </c>
      <c r="L60" s="194">
        <v>0.64406753554087592</v>
      </c>
      <c r="M60" s="194">
        <v>0.78169728179303755</v>
      </c>
      <c r="N60" s="68">
        <v>1</v>
      </c>
      <c r="O60" s="56"/>
      <c r="P60" s="69"/>
    </row>
    <row r="61" spans="2:58">
      <c r="B61" s="33" t="s">
        <v>9</v>
      </c>
      <c r="C61" s="65"/>
      <c r="D61" s="76">
        <v>7.9655471723309335</v>
      </c>
      <c r="E61" s="76">
        <v>7.1359671394026973</v>
      </c>
      <c r="F61" s="66">
        <v>4.8</v>
      </c>
      <c r="G61" s="65"/>
      <c r="H61" s="76">
        <v>8.8444569053591984</v>
      </c>
      <c r="I61" s="76">
        <v>7.4685121493758038</v>
      </c>
      <c r="J61" s="66">
        <v>4.8</v>
      </c>
      <c r="K61" s="67"/>
      <c r="L61" s="194">
        <v>0.8286568662303172</v>
      </c>
      <c r="M61" s="194">
        <v>0.74260444492159683</v>
      </c>
      <c r="N61" s="68">
        <v>1</v>
      </c>
      <c r="P61" s="69"/>
    </row>
    <row r="62" spans="2:58">
      <c r="B62" s="34" t="s">
        <v>40</v>
      </c>
      <c r="C62" s="65"/>
      <c r="D62" s="76">
        <v>10.435585654917661</v>
      </c>
      <c r="E62" s="76">
        <v>12.471734214646009</v>
      </c>
      <c r="F62" s="66">
        <v>5.5</v>
      </c>
      <c r="G62" s="65"/>
      <c r="H62" s="76">
        <v>12.668687929841122</v>
      </c>
      <c r="I62" s="76">
        <v>14.436247754556394</v>
      </c>
      <c r="J62" s="66">
        <v>5.5</v>
      </c>
      <c r="K62" s="67"/>
      <c r="L62" s="194">
        <v>0.54249999999999998</v>
      </c>
      <c r="M62" s="194">
        <v>0.52401498127340829</v>
      </c>
      <c r="N62" s="68">
        <v>1</v>
      </c>
      <c r="P62" s="69"/>
    </row>
    <row r="63" spans="2:58">
      <c r="B63" s="22" t="s">
        <v>33</v>
      </c>
      <c r="C63" s="65"/>
      <c r="D63" s="76"/>
      <c r="E63" s="76">
        <v>3.9190537266638161</v>
      </c>
      <c r="F63" s="66">
        <v>3.3</v>
      </c>
      <c r="G63" s="65"/>
      <c r="H63" s="76"/>
      <c r="I63" s="76">
        <v>5.345661717473071</v>
      </c>
      <c r="J63" s="66">
        <v>3.3</v>
      </c>
      <c r="K63" s="67"/>
      <c r="L63" s="194"/>
      <c r="M63" s="194">
        <v>0.78853801169590654</v>
      </c>
      <c r="N63" s="68">
        <v>1</v>
      </c>
      <c r="P63" s="69"/>
    </row>
    <row r="64" spans="2:58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8.7664670658682695</v>
      </c>
      <c r="F65" s="70">
        <f>[21]May_2022!$M$43</f>
        <v>3.4878406700073312</v>
      </c>
      <c r="G65" s="282"/>
      <c r="H65" s="76"/>
      <c r="I65" s="76">
        <v>10.607235567685406</v>
      </c>
      <c r="J65" s="66">
        <v>5.5</v>
      </c>
      <c r="K65" s="67"/>
      <c r="L65" s="194"/>
      <c r="M65" s="194">
        <v>0.66824561403508764</v>
      </c>
      <c r="N65" s="68">
        <v>1</v>
      </c>
      <c r="P65" s="69"/>
    </row>
    <row r="66" spans="2:16">
      <c r="B66" s="37" t="s">
        <v>16</v>
      </c>
      <c r="C66" s="65"/>
      <c r="D66" s="76">
        <v>3.0622243998040313</v>
      </c>
      <c r="E66" s="76">
        <v>2.5618217399039276</v>
      </c>
      <c r="F66" s="66">
        <v>3.3</v>
      </c>
      <c r="G66" s="282"/>
      <c r="H66" s="76">
        <v>4.90230047253743</v>
      </c>
      <c r="I66" s="76">
        <v>4.6996399261015078</v>
      </c>
      <c r="J66" s="66">
        <v>3.3</v>
      </c>
      <c r="K66" s="67"/>
      <c r="L66" s="194">
        <v>0.98924999999999996</v>
      </c>
      <c r="M66" s="194">
        <v>0.86251968503937015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37" t="s">
        <v>165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7.8346867323955305</v>
      </c>
      <c r="E69" s="76">
        <v>7.2961773292802876</v>
      </c>
      <c r="F69" s="341">
        <v>4.5</v>
      </c>
      <c r="H69" s="76">
        <v>8.9639040755780144</v>
      </c>
      <c r="I69" s="76">
        <v>8.216037277879872</v>
      </c>
      <c r="J69" s="341">
        <v>4.5</v>
      </c>
      <c r="L69" s="194">
        <v>0.70859841560024361</v>
      </c>
      <c r="M69" s="194">
        <v>0.74013908988583377</v>
      </c>
      <c r="N69" s="386">
        <v>1</v>
      </c>
    </row>
    <row r="73" spans="2:16">
      <c r="F73" s="315"/>
    </row>
    <row r="81" spans="30:30">
      <c r="AD81" s="275" t="s">
        <v>57</v>
      </c>
    </row>
  </sheetData>
  <mergeCells count="52">
    <mergeCell ref="M52:M53"/>
    <mergeCell ref="B58:F58"/>
    <mergeCell ref="G58:J58"/>
    <mergeCell ref="K58:N58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B8:B9"/>
    <mergeCell ref="C8:C9"/>
    <mergeCell ref="D8:D9"/>
    <mergeCell ref="G8:G9"/>
    <mergeCell ref="Q8:Q9"/>
    <mergeCell ref="I8:I9"/>
    <mergeCell ref="J8:J9"/>
    <mergeCell ref="K8:K9"/>
    <mergeCell ref="L8:L9"/>
    <mergeCell ref="O8:O9"/>
    <mergeCell ref="P8:P9"/>
    <mergeCell ref="H8:H9"/>
    <mergeCell ref="V1:W1"/>
    <mergeCell ref="X1:Y1"/>
    <mergeCell ref="Z1:AA1"/>
    <mergeCell ref="B2:O2"/>
    <mergeCell ref="C5:D5"/>
    <mergeCell ref="M4:N4"/>
    <mergeCell ref="T1:U1"/>
  </mergeCells>
  <conditionalFormatting sqref="B47:B48">
    <cfRule type="cellIs" dxfId="565" priority="127" operator="notBetween">
      <formula>#REF!</formula>
      <formula>#REF!</formula>
    </cfRule>
  </conditionalFormatting>
  <conditionalFormatting sqref="C51">
    <cfRule type="cellIs" dxfId="564" priority="159" stopIfTrue="1" operator="greaterThan">
      <formula>100</formula>
    </cfRule>
    <cfRule type="cellIs" dxfId="563" priority="158" stopIfTrue="1" operator="lessThan">
      <formula>96</formula>
    </cfRule>
  </conditionalFormatting>
  <conditionalFormatting sqref="C60">
    <cfRule type="cellIs" dxfId="562" priority="82" stopIfTrue="1" operator="greaterThan">
      <formula>$F60</formula>
    </cfRule>
  </conditionalFormatting>
  <conditionalFormatting sqref="C60:C61">
    <cfRule type="cellIs" dxfId="561" priority="83" stopIfTrue="1" operator="lessThanOrEqual">
      <formula>0</formula>
    </cfRule>
  </conditionalFormatting>
  <conditionalFormatting sqref="C61">
    <cfRule type="cellIs" dxfId="560" priority="162" stopIfTrue="1" operator="greaterThan">
      <formula>$F60</formula>
    </cfRule>
  </conditionalFormatting>
  <conditionalFormatting sqref="C62:C64">
    <cfRule type="cellIs" dxfId="559" priority="107" stopIfTrue="1" operator="greaterThan">
      <formula>$F62</formula>
    </cfRule>
  </conditionalFormatting>
  <conditionalFormatting sqref="C62:C65">
    <cfRule type="cellIs" dxfId="558" priority="111" stopIfTrue="1" operator="lessThanOrEqual">
      <formula>0</formula>
    </cfRule>
  </conditionalFormatting>
  <conditionalFormatting sqref="C65">
    <cfRule type="cellIs" dxfId="557" priority="110" stopIfTrue="1" operator="greaterThan">
      <formula>$J65</formula>
    </cfRule>
  </conditionalFormatting>
  <conditionalFormatting sqref="C71:C75">
    <cfRule type="cellIs" dxfId="556" priority="150" stopIfTrue="1" operator="lessThanOrEqual">
      <formula>0</formula>
    </cfRule>
  </conditionalFormatting>
  <conditionalFormatting sqref="C72:C75">
    <cfRule type="cellIs" dxfId="555" priority="149" stopIfTrue="1" operator="greaterThan">
      <formula>$F$71</formula>
    </cfRule>
  </conditionalFormatting>
  <conditionalFormatting sqref="C77">
    <cfRule type="cellIs" dxfId="554" priority="152" stopIfTrue="1" operator="lessThanOrEqual">
      <formula>0</formula>
    </cfRule>
    <cfRule type="cellIs" dxfId="553" priority="151" stopIfTrue="1" operator="greaterThan">
      <formula>$F$71</formula>
    </cfRule>
  </conditionalFormatting>
  <conditionalFormatting sqref="C71:D71 D73:D79">
    <cfRule type="cellIs" dxfId="552" priority="144" stopIfTrue="1" operator="greaterThan">
      <formula>4.5</formula>
    </cfRule>
  </conditionalFormatting>
  <conditionalFormatting sqref="D47:D48">
    <cfRule type="cellIs" dxfId="551" priority="128" operator="notBetween">
      <formula>#REF!</formula>
      <formula>#REF!</formula>
    </cfRule>
  </conditionalFormatting>
  <conditionalFormatting sqref="D60:D67">
    <cfRule type="cellIs" dxfId="550" priority="121" stopIfTrue="1" operator="lessThanOrEqual">
      <formula>0</formula>
    </cfRule>
  </conditionalFormatting>
  <conditionalFormatting sqref="D68">
    <cfRule type="cellIs" dxfId="549" priority="120" stopIfTrue="1" operator="lessThanOrEqual">
      <formula>0</formula>
    </cfRule>
  </conditionalFormatting>
  <conditionalFormatting sqref="D71 D73:D79">
    <cfRule type="cellIs" dxfId="548" priority="145" stopIfTrue="1" operator="lessThanOrEqual">
      <formula>0</formula>
    </cfRule>
  </conditionalFormatting>
  <conditionalFormatting sqref="D72">
    <cfRule type="cellIs" dxfId="547" priority="136" stopIfTrue="1" operator="greaterThan">
      <formula>$F$71</formula>
    </cfRule>
    <cfRule type="cellIs" dxfId="546" priority="137" stopIfTrue="1" operator="lessThanOrEqual">
      <formula>0</formula>
    </cfRule>
  </conditionalFormatting>
  <conditionalFormatting sqref="D60:E69">
    <cfRule type="cellIs" dxfId="545" priority="79" stopIfTrue="1" operator="greaterThan">
      <formula>$F60</formula>
    </cfRule>
  </conditionalFormatting>
  <conditionalFormatting sqref="D69:E69">
    <cfRule type="cellIs" dxfId="544" priority="80" stopIfTrue="1" operator="lessThanOrEqual">
      <formula>0</formula>
    </cfRule>
  </conditionalFormatting>
  <conditionalFormatting sqref="E10:E22">
    <cfRule type="cellIs" dxfId="543" priority="7" operator="lessThan">
      <formula>48</formula>
    </cfRule>
  </conditionalFormatting>
  <conditionalFormatting sqref="E51">
    <cfRule type="cellIs" dxfId="542" priority="138" stopIfTrue="1" operator="lessThan">
      <formula>96.8</formula>
    </cfRule>
    <cfRule type="cellIs" dxfId="541" priority="139" stopIfTrue="1" operator="greaterThan">
      <formula>100</formula>
    </cfRule>
  </conditionalFormatting>
  <conditionalFormatting sqref="E60:E68">
    <cfRule type="cellIs" dxfId="540" priority="115" stopIfTrue="1" operator="lessThanOrEqual">
      <formula>0</formula>
    </cfRule>
  </conditionalFormatting>
  <conditionalFormatting sqref="E71:E79">
    <cfRule type="cellIs" dxfId="539" priority="131" stopIfTrue="1" operator="lessThanOrEqual">
      <formula>0</formula>
    </cfRule>
    <cfRule type="cellIs" dxfId="538" priority="130" stopIfTrue="1" operator="greaterThan">
      <formula>4.5</formula>
    </cfRule>
  </conditionalFormatting>
  <conditionalFormatting sqref="E50:F51">
    <cfRule type="cellIs" dxfId="537" priority="140" stopIfTrue="1" operator="lessThan">
      <formula>96.5</formula>
    </cfRule>
    <cfRule type="cellIs" dxfId="536" priority="141" stopIfTrue="1" operator="greaterThan">
      <formula>100</formula>
    </cfRule>
  </conditionalFormatting>
  <conditionalFormatting sqref="F10:F21">
    <cfRule type="cellIs" dxfId="535" priority="9" operator="greaterThan">
      <formula>60</formula>
    </cfRule>
  </conditionalFormatting>
  <conditionalFormatting sqref="F22">
    <cfRule type="cellIs" dxfId="534" priority="165" operator="greaterThan">
      <formula>$AA22</formula>
    </cfRule>
    <cfRule type="cellIs" dxfId="533" priority="166" operator="greaterThan">
      <formula>$AA57</formula>
    </cfRule>
  </conditionalFormatting>
  <conditionalFormatting sqref="F51">
    <cfRule type="cellIs" dxfId="532" priority="156" stopIfTrue="1" operator="lessThan">
      <formula>96.8</formula>
    </cfRule>
    <cfRule type="cellIs" dxfId="531" priority="157" stopIfTrue="1" operator="greaterThan">
      <formula>100</formula>
    </cfRule>
  </conditionalFormatting>
  <conditionalFormatting sqref="F69">
    <cfRule type="cellIs" dxfId="530" priority="117" stopIfTrue="1" operator="lessThanOrEqual">
      <formula>0</formula>
    </cfRule>
    <cfRule type="cellIs" dxfId="529" priority="116" stopIfTrue="1" operator="greaterThan">
      <formula>$F69</formula>
    </cfRule>
  </conditionalFormatting>
  <conditionalFormatting sqref="G60:G61 C66:C68">
    <cfRule type="cellIs" dxfId="528" priority="122" stopIfTrue="1" operator="greaterThan">
      <formula>$F60</formula>
    </cfRule>
    <cfRule type="cellIs" dxfId="527" priority="123" stopIfTrue="1" operator="lessThanOrEqual">
      <formula>0</formula>
    </cfRule>
  </conditionalFormatting>
  <conditionalFormatting sqref="G60:G61">
    <cfRule type="cellIs" dxfId="526" priority="88" stopIfTrue="1" operator="greaterThan">
      <formula>$F60</formula>
    </cfRule>
    <cfRule type="cellIs" dxfId="525" priority="89" stopIfTrue="1" operator="lessThanOrEqual">
      <formula>0</formula>
    </cfRule>
  </conditionalFormatting>
  <conditionalFormatting sqref="G62">
    <cfRule type="cellIs" dxfId="524" priority="160" stopIfTrue="1" operator="greaterThan">
      <formula>$F61</formula>
    </cfRule>
    <cfRule type="cellIs" dxfId="523" priority="161" stopIfTrue="1" operator="lessThanOrEqual">
      <formula>0</formula>
    </cfRule>
  </conditionalFormatting>
  <conditionalFormatting sqref="G63">
    <cfRule type="cellIs" dxfId="522" priority="119" stopIfTrue="1" operator="lessThanOrEqual">
      <formula>0</formula>
    </cfRule>
    <cfRule type="cellIs" dxfId="521" priority="118" stopIfTrue="1" operator="greaterThan">
      <formula>$F63</formula>
    </cfRule>
  </conditionalFormatting>
  <conditionalFormatting sqref="G64:G68">
    <cfRule type="cellIs" dxfId="520" priority="125" stopIfTrue="1" operator="lessThanOrEqual">
      <formula>0</formula>
    </cfRule>
    <cfRule type="cellIs" dxfId="519" priority="124" stopIfTrue="1" operator="greaterThan">
      <formula>$J64</formula>
    </cfRule>
  </conditionalFormatting>
  <conditionalFormatting sqref="G73:G78 C76 C78">
    <cfRule type="cellIs" dxfId="518" priority="154" stopIfTrue="1" operator="lessThanOrEqual">
      <formula>0</formula>
    </cfRule>
    <cfRule type="cellIs" dxfId="517" priority="153" stopIfTrue="1" operator="greaterThan">
      <formula>4.5</formula>
    </cfRule>
  </conditionalFormatting>
  <conditionalFormatting sqref="G10:H22">
    <cfRule type="expression" dxfId="516" priority="1">
      <formula>IF(+(IF(G10&lt;#REF!,0,IF(G10&gt;#REF!,0,1)))=0,1)</formula>
    </cfRule>
  </conditionalFormatting>
  <conditionalFormatting sqref="G72:H72">
    <cfRule type="cellIs" dxfId="515" priority="134" stopIfTrue="1" operator="greaterThan">
      <formula>$F$71</formula>
    </cfRule>
    <cfRule type="cellIs" dxfId="514" priority="135" stopIfTrue="1" operator="lessThanOrEqual">
      <formula>0</formula>
    </cfRule>
  </conditionalFormatting>
  <conditionalFormatting sqref="H36:H49 G37:G48">
    <cfRule type="cellIs" dxfId="513" priority="132" stopIfTrue="1" operator="greaterThan">
      <formula>0</formula>
    </cfRule>
  </conditionalFormatting>
  <conditionalFormatting sqref="H54">
    <cfRule type="cellIs" dxfId="512" priority="23" stopIfTrue="1" operator="lessThanOrEqual">
      <formula>0</formula>
    </cfRule>
    <cfRule type="cellIs" dxfId="511" priority="22" stopIfTrue="1" operator="greaterThan">
      <formula>$F$38</formula>
    </cfRule>
    <cfRule type="cellIs" dxfId="510" priority="14" stopIfTrue="1" operator="greaterThan">
      <formula>$F$35</formula>
    </cfRule>
    <cfRule type="cellIs" dxfId="509" priority="13" stopIfTrue="1" operator="lessThanOrEqual">
      <formula>0</formula>
    </cfRule>
    <cfRule type="cellIs" dxfId="508" priority="25" stopIfTrue="1" operator="lessThanOrEqual">
      <formula>0</formula>
    </cfRule>
    <cfRule type="cellIs" dxfId="507" priority="24" stopIfTrue="1" operator="greaterThan">
      <formula>$F$36</formula>
    </cfRule>
  </conditionalFormatting>
  <conditionalFormatting sqref="H55">
    <cfRule type="cellIs" dxfId="506" priority="106" stopIfTrue="1" operator="lessThanOrEqual">
      <formula>0</formula>
    </cfRule>
    <cfRule type="cellIs" dxfId="505" priority="105" stopIfTrue="1" operator="greaterThan">
      <formula>$F$60</formula>
    </cfRule>
    <cfRule type="cellIs" dxfId="504" priority="104" stopIfTrue="1" operator="lessThanOrEqual">
      <formula>0</formula>
    </cfRule>
    <cfRule type="cellIs" dxfId="503" priority="103" stopIfTrue="1" operator="greaterThan">
      <formula>$F$62</formula>
    </cfRule>
    <cfRule type="cellIs" dxfId="502" priority="95" stopIfTrue="1" operator="greaterThan">
      <formula>$F$59</formula>
    </cfRule>
    <cfRule type="cellIs" dxfId="501" priority="94" stopIfTrue="1" operator="lessThanOrEqual">
      <formula>0</formula>
    </cfRule>
  </conditionalFormatting>
  <conditionalFormatting sqref="H56">
    <cfRule type="cellIs" dxfId="500" priority="39" stopIfTrue="1" operator="lessThanOrEqual">
      <formula>0</formula>
    </cfRule>
    <cfRule type="cellIs" dxfId="499" priority="38" stopIfTrue="1" operator="greaterThan">
      <formula>$F$36</formula>
    </cfRule>
    <cfRule type="cellIs" dxfId="498" priority="37" stopIfTrue="1" operator="lessThanOrEqual">
      <formula>0</formula>
    </cfRule>
    <cfRule type="cellIs" dxfId="497" priority="36" stopIfTrue="1" operator="greaterThan">
      <formula>$F$38</formula>
    </cfRule>
    <cfRule type="cellIs" dxfId="496" priority="28" stopIfTrue="1" operator="greaterThan">
      <formula>$F$35</formula>
    </cfRule>
    <cfRule type="cellIs" dxfId="495" priority="27" stopIfTrue="1" operator="lessThanOrEqual">
      <formula>0</formula>
    </cfRule>
  </conditionalFormatting>
  <conditionalFormatting sqref="H60:H67">
    <cfRule type="cellIs" dxfId="494" priority="108" stopIfTrue="1" operator="greaterThan">
      <formula>$J60</formula>
    </cfRule>
    <cfRule type="cellIs" dxfId="493" priority="109" stopIfTrue="1" operator="lessThanOrEqual">
      <formula>0</formula>
    </cfRule>
  </conditionalFormatting>
  <conditionalFormatting sqref="H68">
    <cfRule type="cellIs" dxfId="492" priority="112" operator="greaterThan">
      <formula>5.3</formula>
    </cfRule>
  </conditionalFormatting>
  <conditionalFormatting sqref="H71 H73:H79">
    <cfRule type="cellIs" dxfId="491" priority="147" stopIfTrue="1" operator="lessThanOrEqual">
      <formula>0</formula>
    </cfRule>
    <cfRule type="cellIs" dxfId="490" priority="146" stopIfTrue="1" operator="greaterThan">
      <formula>4.5</formula>
    </cfRule>
  </conditionalFormatting>
  <conditionalFormatting sqref="H54:I54">
    <cfRule type="cellIs" dxfId="489" priority="15" stopIfTrue="1" operator="lessThanOrEqual">
      <formula>0</formula>
    </cfRule>
    <cfRule type="cellIs" dxfId="488" priority="12" stopIfTrue="1" operator="greaterThan">
      <formula>$F$37</formula>
    </cfRule>
  </conditionalFormatting>
  <conditionalFormatting sqref="H55:I55">
    <cfRule type="cellIs" dxfId="487" priority="93" stopIfTrue="1" operator="greaterThan">
      <formula>$F$61</formula>
    </cfRule>
    <cfRule type="cellIs" dxfId="486" priority="96" stopIfTrue="1" operator="lessThanOrEqual">
      <formula>0</formula>
    </cfRule>
  </conditionalFormatting>
  <conditionalFormatting sqref="H56:I56">
    <cfRule type="cellIs" dxfId="485" priority="29" stopIfTrue="1" operator="lessThanOrEqual">
      <formula>0</formula>
    </cfRule>
    <cfRule type="cellIs" dxfId="484" priority="26" stopIfTrue="1" operator="greaterThan">
      <formula>$F$37</formula>
    </cfRule>
  </conditionalFormatting>
  <conditionalFormatting sqref="H69:I69">
    <cfRule type="cellIs" dxfId="483" priority="77" stopIfTrue="1" operator="greaterThan">
      <formula>$J69</formula>
    </cfRule>
    <cfRule type="cellIs" dxfId="482" priority="78" stopIfTrue="1" operator="lessThanOrEqual">
      <formula>0</formula>
    </cfRule>
  </conditionalFormatting>
  <conditionalFormatting sqref="I22">
    <cfRule type="cellIs" dxfId="481" priority="87" operator="lessThan">
      <formula>98</formula>
    </cfRule>
    <cfRule type="cellIs" dxfId="480" priority="84" operator="lessThan">
      <formula>97.8</formula>
    </cfRule>
  </conditionalFormatting>
  <conditionalFormatting sqref="I54">
    <cfRule type="cellIs" dxfId="479" priority="21" stopIfTrue="1" operator="lessThanOrEqual">
      <formula>0</formula>
    </cfRule>
    <cfRule type="cellIs" dxfId="478" priority="19" stopIfTrue="1" operator="lessThanOrEqual">
      <formula>0</formula>
    </cfRule>
    <cfRule type="cellIs" dxfId="477" priority="20" stopIfTrue="1" operator="greaterThan">
      <formula>$F$35</formula>
    </cfRule>
    <cfRule type="cellIs" dxfId="476" priority="18" stopIfTrue="1" operator="greaterThan">
      <formula>$F$37</formula>
    </cfRule>
    <cfRule type="cellIs" dxfId="475" priority="16" stopIfTrue="1" operator="greaterThan">
      <formula>$F$35</formula>
    </cfRule>
    <cfRule type="cellIs" dxfId="474" priority="17" stopIfTrue="1" operator="lessThanOrEqual">
      <formula>0</formula>
    </cfRule>
  </conditionalFormatting>
  <conditionalFormatting sqref="I55">
    <cfRule type="cellIs" dxfId="473" priority="101" stopIfTrue="1" operator="greaterThan">
      <formula>$F$59</formula>
    </cfRule>
    <cfRule type="cellIs" dxfId="472" priority="102" stopIfTrue="1" operator="lessThanOrEqual">
      <formula>0</formula>
    </cfRule>
    <cfRule type="cellIs" dxfId="471" priority="99" stopIfTrue="1" operator="greaterThan">
      <formula>$F$61</formula>
    </cfRule>
    <cfRule type="cellIs" dxfId="470" priority="97" stopIfTrue="1" operator="greaterThan">
      <formula>$F$59</formula>
    </cfRule>
    <cfRule type="cellIs" dxfId="469" priority="98" stopIfTrue="1" operator="lessThanOrEqual">
      <formula>0</formula>
    </cfRule>
    <cfRule type="cellIs" dxfId="468" priority="100" stopIfTrue="1" operator="lessThanOrEqual">
      <formula>0</formula>
    </cfRule>
  </conditionalFormatting>
  <conditionalFormatting sqref="I56">
    <cfRule type="cellIs" dxfId="467" priority="35" stopIfTrue="1" operator="lessThanOrEqual">
      <formula>0</formula>
    </cfRule>
    <cfRule type="cellIs" dxfId="466" priority="34" stopIfTrue="1" operator="greaterThan">
      <formula>$F$35</formula>
    </cfRule>
    <cfRule type="cellIs" dxfId="465" priority="33" stopIfTrue="1" operator="lessThanOrEqual">
      <formula>0</formula>
    </cfRule>
    <cfRule type="cellIs" dxfId="464" priority="32" stopIfTrue="1" operator="greaterThan">
      <formula>$F$37</formula>
    </cfRule>
    <cfRule type="cellIs" dxfId="463" priority="31" stopIfTrue="1" operator="lessThanOrEqual">
      <formula>0</formula>
    </cfRule>
    <cfRule type="cellIs" dxfId="462" priority="30" stopIfTrue="1" operator="greaterThan">
      <formula>$F$35</formula>
    </cfRule>
  </conditionalFormatting>
  <conditionalFormatting sqref="I60:I68">
    <cfRule type="cellIs" dxfId="461" priority="113" stopIfTrue="1" operator="greaterThan">
      <formula>$J60</formula>
    </cfRule>
    <cfRule type="cellIs" dxfId="460" priority="114" stopIfTrue="1" operator="lessThanOrEqual">
      <formula>0</formula>
    </cfRule>
  </conditionalFormatting>
  <conditionalFormatting sqref="I71:I79">
    <cfRule type="cellIs" dxfId="459" priority="143" stopIfTrue="1" operator="lessThanOrEqual">
      <formula>0</formula>
    </cfRule>
    <cfRule type="cellIs" dxfId="458" priority="142" stopIfTrue="1" operator="greaterThan">
      <formula>4.5</formula>
    </cfRule>
  </conditionalFormatting>
  <conditionalFormatting sqref="I10:J21">
    <cfRule type="cellIs" dxfId="457" priority="10" operator="lessThan">
      <formula>97.9</formula>
    </cfRule>
  </conditionalFormatting>
  <conditionalFormatting sqref="J22">
    <cfRule type="cellIs" dxfId="456" priority="86" operator="lessThan">
      <formula>97.4</formula>
    </cfRule>
    <cfRule type="cellIs" dxfId="455" priority="85" operator="notBetween">
      <formula>98</formula>
      <formula>99.9</formula>
    </cfRule>
  </conditionalFormatting>
  <conditionalFormatting sqref="J25:J27">
    <cfRule type="cellIs" dxfId="454" priority="57" stopIfTrue="1" operator="lessThan">
      <formula>96.8</formula>
    </cfRule>
    <cfRule type="cellIs" dxfId="453" priority="59" operator="lessThan">
      <formula>98</formula>
    </cfRule>
    <cfRule type="cellIs" dxfId="452" priority="58" stopIfTrue="1" operator="greaterThan">
      <formula>100</formula>
    </cfRule>
  </conditionalFormatting>
  <conditionalFormatting sqref="J25:J29">
    <cfRule type="cellIs" dxfId="451" priority="56" operator="lessThan">
      <formula>97.4</formula>
    </cfRule>
  </conditionalFormatting>
  <conditionalFormatting sqref="J30">
    <cfRule type="cellIs" dxfId="450" priority="60" operator="lessThan">
      <formula>98</formula>
    </cfRule>
  </conditionalFormatting>
  <conditionalFormatting sqref="J31:J33">
    <cfRule type="cellIs" dxfId="449" priority="61" stopIfTrue="1" operator="lessThan">
      <formula>96.8</formula>
    </cfRule>
    <cfRule type="cellIs" dxfId="448" priority="62" stopIfTrue="1" operator="greaterThan">
      <formula>100</formula>
    </cfRule>
  </conditionalFormatting>
  <conditionalFormatting sqref="J31:J34">
    <cfRule type="cellIs" dxfId="447" priority="63" operator="lessThan">
      <formula>98</formula>
    </cfRule>
  </conditionalFormatting>
  <conditionalFormatting sqref="J69">
    <cfRule type="cellIs" dxfId="446" priority="75" stopIfTrue="1" operator="lessThanOrEqual">
      <formula>0</formula>
    </cfRule>
    <cfRule type="cellIs" dxfId="445" priority="74" stopIfTrue="1" operator="greaterThan">
      <formula>$F69</formula>
    </cfRule>
  </conditionalFormatting>
  <conditionalFormatting sqref="K10:K22">
    <cfRule type="cellIs" dxfId="444" priority="8" operator="greaterThan">
      <formula>6.4</formula>
    </cfRule>
    <cfRule type="cellIs" dxfId="443" priority="4" operator="lessThan">
      <formula>4</formula>
    </cfRule>
    <cfRule type="cellIs" dxfId="442" priority="3" operator="greaterThan">
      <formula>6</formula>
    </cfRule>
  </conditionalFormatting>
  <conditionalFormatting sqref="K39:K48">
    <cfRule type="cellIs" dxfId="441" priority="55" operator="notEqual">
      <formula>#REF!</formula>
    </cfRule>
  </conditionalFormatting>
  <conditionalFormatting sqref="K54:K56 K60:N68">
    <cfRule type="cellIs" dxfId="440" priority="126" stopIfTrue="1" operator="lessThan">
      <formula>100%</formula>
    </cfRule>
  </conditionalFormatting>
  <conditionalFormatting sqref="K71:K76">
    <cfRule type="cellIs" dxfId="439" priority="148" stopIfTrue="1" operator="lessThan">
      <formula>100%</formula>
    </cfRule>
  </conditionalFormatting>
  <conditionalFormatting sqref="K78:K79">
    <cfRule type="cellIs" dxfId="438" priority="155" stopIfTrue="1" operator="lessThan">
      <formula>100%</formula>
    </cfRule>
  </conditionalFormatting>
  <conditionalFormatting sqref="L10:L22">
    <cfRule type="cellIs" dxfId="437" priority="6" operator="greaterThan">
      <formula>65</formula>
    </cfRule>
    <cfRule type="cellIs" dxfId="436" priority="5" operator="between">
      <formula>61</formula>
      <formula>65</formula>
    </cfRule>
  </conditionalFormatting>
  <conditionalFormatting sqref="L25:M36">
    <cfRule type="cellIs" dxfId="435" priority="81" operator="lessThan">
      <formula>98</formula>
    </cfRule>
  </conditionalFormatting>
  <conditionalFormatting sqref="L40:N40">
    <cfRule type="cellIs" dxfId="434" priority="90" operator="notEqual">
      <formula>#REF!</formula>
    </cfRule>
  </conditionalFormatting>
  <conditionalFormatting sqref="L69:N69">
    <cfRule type="cellIs" dxfId="433" priority="76" stopIfTrue="1" operator="lessThan">
      <formula>100%</formula>
    </cfRule>
  </conditionalFormatting>
  <conditionalFormatting sqref="L71:N79">
    <cfRule type="cellIs" dxfId="432" priority="133" stopIfTrue="1" operator="lessThan">
      <formula>100%</formula>
    </cfRule>
  </conditionalFormatting>
  <conditionalFormatting sqref="M10:M17 M20:M22">
    <cfRule type="expression" dxfId="431" priority="64">
      <formula>IF(+(IF(M10&lt;V10,0,IF(M10&gt;W10,0,1)))=0,1)</formula>
    </cfRule>
  </conditionalFormatting>
  <conditionalFormatting sqref="M18:M19">
    <cfRule type="expression" dxfId="430" priority="11">
      <formula>IF(+(IF(M18&lt;U18,0,IF(M18&gt;V18,0,1)))=0,1)</formula>
    </cfRule>
  </conditionalFormatting>
  <conditionalFormatting sqref="M6:N6">
    <cfRule type="cellIs" dxfId="429" priority="92" operator="greaterThanOrEqual">
      <formula>19</formula>
    </cfRule>
    <cfRule type="cellIs" dxfId="428" priority="91" operator="greaterThanOrEqual">
      <formula>15</formula>
    </cfRule>
  </conditionalFormatting>
  <conditionalFormatting sqref="N10:N22">
    <cfRule type="expression" dxfId="427" priority="2">
      <formula>IF(+(IF(N10&lt;X10,0,IF(N10&gt;Y10,0,1)))=0,1)</formula>
    </cfRule>
  </conditionalFormatting>
  <conditionalFormatting sqref="N22">
    <cfRule type="expression" dxfId="426" priority="163">
      <formula>IF(+(IF(N22&lt;X62,0,IF(N22&gt;Y62,0,1)))=0,1)</formula>
    </cfRule>
    <cfRule type="expression" dxfId="425" priority="164">
      <formula>IF(+(IF(N22&lt;X57,0,IF(N22&gt;Y57,0,1)))=0,1)</formula>
    </cfRule>
  </conditionalFormatting>
  <conditionalFormatting sqref="P6">
    <cfRule type="cellIs" dxfId="424" priority="129" operator="greaterThanOrEqual">
      <formula>19</formula>
    </cfRule>
  </conditionalFormatting>
  <dataValidations count="1">
    <dataValidation type="list" allowBlank="1" showInputMessage="1" showErrorMessage="1" sqref="S8 B22" xr:uid="{45CC1C76-1505-4F91-95F1-CD3BCC6BA6F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9218-DD1F-4779-BF61-0BA4CEF8E3D2}">
  <sheetPr>
    <pageSetUpPr fitToPage="1"/>
  </sheetPr>
  <dimension ref="A1:BF83"/>
  <sheetViews>
    <sheetView topLeftCell="A9" zoomScale="80" zoomScaleNormal="80" workbookViewId="0">
      <selection activeCell="C20" sqref="C20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13.441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J4" s="401" t="s">
        <v>205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>
        <v>45744</v>
      </c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204</v>
      </c>
      <c r="K6" s="404"/>
      <c r="L6" s="311" t="s">
        <v>14</v>
      </c>
      <c r="M6" s="340">
        <v>4</v>
      </c>
      <c r="N6" s="340">
        <v>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2" t="s">
        <v>33</v>
      </c>
      <c r="C10" s="366" t="str">
        <f>[26]Brewhouse!A23</f>
        <v>VM017</v>
      </c>
      <c r="D10" s="279">
        <f>[26]Brewhouse!AE23</f>
        <v>52.8</v>
      </c>
      <c r="E10" s="279">
        <f>[26]Brewhouse!AJ23</f>
        <v>49.6</v>
      </c>
      <c r="F10" s="278">
        <f>[26]Brewhouse!X23</f>
        <v>88</v>
      </c>
      <c r="G10" s="279">
        <f>[26]Brewhouse!AH23</f>
        <v>14.7</v>
      </c>
      <c r="H10" s="396">
        <v>14.67</v>
      </c>
      <c r="I10" s="368">
        <f>[26]Brewhouse!AV23</f>
        <v>103.66984113752797</v>
      </c>
      <c r="J10" s="368">
        <f>[26]Brewhouse!AW23</f>
        <v>103.96607386755581</v>
      </c>
      <c r="K10" s="281">
        <f>[26]Brewhouse!S23</f>
        <v>6.174242424242407</v>
      </c>
      <c r="L10" s="276">
        <f>[26]Brewhouse!R23</f>
        <v>57</v>
      </c>
      <c r="M10" s="374">
        <f>[26]Brewhouse!$W23-[26]Brewhouse!$V23</f>
        <v>0.15555555555555556</v>
      </c>
      <c r="N10" s="370">
        <f>[26]Brewhouse!AB23</f>
        <v>0.2895833333333333</v>
      </c>
      <c r="O10" s="371" t="str">
        <f>[26]Brewhouse!$AZ23</f>
        <v>K. Benjamin</v>
      </c>
      <c r="P10" s="441"/>
      <c r="Q10" s="347"/>
      <c r="S10" s="277" t="str">
        <f t="shared" ref="S10:S24" si="0">B10</f>
        <v>VITAMALT</v>
      </c>
      <c r="T10" s="296">
        <f t="shared" ref="T10:T24" si="1">VLOOKUP($B10,$S$3:$Y$9,2,FALSE)</f>
        <v>14.4</v>
      </c>
      <c r="U10" s="296">
        <f t="shared" ref="U10:U24" si="2">VLOOKUP($B10,$S$3:$Y$9,3,FALSE)</f>
        <v>14.6</v>
      </c>
      <c r="V10" s="297">
        <f t="shared" ref="V10:V24" si="3">VLOOKUP($B10,$S$3:$Y$9,4,FALSE)</f>
        <v>0</v>
      </c>
      <c r="W10" s="297">
        <f t="shared" ref="W10:W24" si="4">VLOOKUP($B10,$S$3:$Y$9,5,FALSE)</f>
        <v>0.13905092592592591</v>
      </c>
      <c r="X10" s="297">
        <f t="shared" ref="X10:X24" si="5">VLOOKUP($B10,$S$3:$Y$9,6,FALSE)</f>
        <v>0.26041666666666669</v>
      </c>
      <c r="Y10" s="297">
        <f t="shared" ref="Y10:Y24" si="6">VLOOKUP($B10,$S$3:$Y$9,7,FALSE)</f>
        <v>0.2951388888888889</v>
      </c>
      <c r="Z10" s="297">
        <f t="shared" ref="Z10:Z24" si="7">VLOOKUP($B10,$S$3:$AA$9,8,FALSE)</f>
        <v>0</v>
      </c>
      <c r="AA10" s="296">
        <f t="shared" ref="AA10:AA24" si="8">VLOOKUP($B10,$S$3:$AA$9,9,FALSE)</f>
        <v>75</v>
      </c>
    </row>
    <row r="11" spans="2:30" ht="15.75" customHeight="1">
      <c r="B11" s="22" t="s">
        <v>33</v>
      </c>
      <c r="C11" s="366" t="str">
        <f>[26]Brewhouse!A24</f>
        <v>VM018</v>
      </c>
      <c r="D11" s="279">
        <f>[26]Brewhouse!AE24</f>
        <v>52.8</v>
      </c>
      <c r="E11" s="279">
        <f>[26]Brewhouse!AJ24</f>
        <v>47.8</v>
      </c>
      <c r="F11" s="278">
        <f>[26]Brewhouse!X24</f>
        <v>86</v>
      </c>
      <c r="G11" s="279">
        <f>[26]Brewhouse!AH24</f>
        <v>14.1</v>
      </c>
      <c r="H11" s="396">
        <v>14.1</v>
      </c>
      <c r="I11" s="368">
        <f>[26]Brewhouse!AV24</f>
        <v>95.602927454157623</v>
      </c>
      <c r="J11" s="368">
        <f>[26]Brewhouse!AW24</f>
        <v>95.87610927721866</v>
      </c>
      <c r="K11" s="281">
        <f>[26]Brewhouse!S24</f>
        <v>6.9318181818181754</v>
      </c>
      <c r="L11" s="276">
        <f>[26]Brewhouse!R24</f>
        <v>60</v>
      </c>
      <c r="M11" s="374">
        <f>[26]Brewhouse!$W24-[26]Brewhouse!$V24</f>
        <v>0.13680555555555551</v>
      </c>
      <c r="N11" s="370">
        <f>[26]Brewhouse!AB24</f>
        <v>0.27291666666666664</v>
      </c>
      <c r="O11" s="371" t="str">
        <f>[26]Brewhouse!$AZ24</f>
        <v>K. Benjamin</v>
      </c>
      <c r="P11" s="441"/>
      <c r="Q11" s="347"/>
      <c r="S11" s="277" t="str">
        <f t="shared" si="0"/>
        <v>VITAMALT</v>
      </c>
      <c r="T11" s="296">
        <f t="shared" si="1"/>
        <v>14.4</v>
      </c>
      <c r="U11" s="296">
        <f t="shared" si="2"/>
        <v>14.6</v>
      </c>
      <c r="V11" s="297">
        <f t="shared" si="3"/>
        <v>0</v>
      </c>
      <c r="W11" s="297">
        <f t="shared" si="4"/>
        <v>0.13905092592592591</v>
      </c>
      <c r="X11" s="297">
        <f t="shared" si="5"/>
        <v>0.26041666666666669</v>
      </c>
      <c r="Y11" s="297">
        <f t="shared" si="6"/>
        <v>0.2951388888888889</v>
      </c>
      <c r="Z11" s="297">
        <f t="shared" si="7"/>
        <v>0</v>
      </c>
      <c r="AA11" s="296">
        <f t="shared" si="8"/>
        <v>75</v>
      </c>
    </row>
    <row r="12" spans="2:30" ht="15.7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41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41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41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41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customHeight="1">
      <c r="B16" s="29" t="s">
        <v>6</v>
      </c>
      <c r="C16" s="366" t="str">
        <f>[23]Brewhouse!$A332</f>
        <v>CA229</v>
      </c>
      <c r="D16" s="279">
        <f>[23]Brewhouse!$AF332</f>
        <v>53.8</v>
      </c>
      <c r="E16" s="279">
        <f>[23]Brewhouse!$AI332</f>
        <v>49.4</v>
      </c>
      <c r="F16" s="278">
        <f>[23]Brewhouse!$V332</f>
        <v>59</v>
      </c>
      <c r="G16" s="279">
        <f>[23]Brewhouse!$AG332</f>
        <v>11.7</v>
      </c>
      <c r="H16" s="396">
        <v>11.7</v>
      </c>
      <c r="I16" s="368">
        <f>[23]Brewhouse!$AU332</f>
        <v>94.353846621380328</v>
      </c>
      <c r="J16" s="368">
        <f>[23]Brewhouse!$AV332</f>
        <v>95.601518089356304</v>
      </c>
      <c r="K16" s="281">
        <f>[23]Brewhouse!$Q332</f>
        <v>5.3832442067736244</v>
      </c>
      <c r="L16" s="276">
        <f>[23]Brewhouse!$P332</f>
        <v>62</v>
      </c>
      <c r="M16" s="397">
        <f>[23]Brewhouse!$U332-[23]Brewhouse!$T332</f>
        <v>0.11944444444444446</v>
      </c>
      <c r="N16" s="370">
        <f>[23]Brewhouse!$Z332</f>
        <v>0.2590277777777778</v>
      </c>
      <c r="O16" s="371" t="str">
        <f>[23]Brewhouse!$AX332</f>
        <v>R. Regis</v>
      </c>
      <c r="P16" s="441"/>
      <c r="Q16" s="347"/>
      <c r="S16" s="277"/>
      <c r="T16" s="296"/>
      <c r="U16" s="296"/>
      <c r="V16" s="297"/>
      <c r="W16" s="297"/>
      <c r="X16" s="297"/>
      <c r="Y16" s="297"/>
      <c r="Z16" s="297"/>
      <c r="AA16" s="296"/>
    </row>
    <row r="17" spans="1:27" ht="15.75" customHeight="1">
      <c r="B17" s="29" t="s">
        <v>6</v>
      </c>
      <c r="C17" s="366" t="str">
        <f>[23]Brewhouse!$A333</f>
        <v>CA230</v>
      </c>
      <c r="D17" s="279">
        <f>[23]Brewhouse!$AF333</f>
        <v>54.5</v>
      </c>
      <c r="E17" s="279">
        <f>[23]Brewhouse!$AI333</f>
        <v>51</v>
      </c>
      <c r="F17" s="278">
        <f>[23]Brewhouse!$V333</f>
        <v>59</v>
      </c>
      <c r="G17" s="279">
        <f>[23]Brewhouse!$AG333</f>
        <v>11.9</v>
      </c>
      <c r="H17" s="396">
        <v>11.8</v>
      </c>
      <c r="I17" s="368">
        <f>[23]Brewhouse!$AU333</f>
        <v>99.52869748499829</v>
      </c>
      <c r="J17" s="368">
        <f>[23]Brewhouse!$AV333</f>
        <v>100.84436664992124</v>
      </c>
      <c r="K17" s="281">
        <f>[23]Brewhouse!$Q333</f>
        <v>4.9823321554770326</v>
      </c>
      <c r="L17" s="276">
        <f>[23]Brewhouse!$P333</f>
        <v>60</v>
      </c>
      <c r="M17" s="397">
        <f>[23]Brewhouse!$U333-[23]Brewhouse!$T333</f>
        <v>0.11041666666666672</v>
      </c>
      <c r="N17" s="370">
        <f>[23]Brewhouse!$Z333</f>
        <v>0.24652777777777779</v>
      </c>
      <c r="O17" s="371" t="str">
        <f>[23]Brewhouse!$AX333</f>
        <v>R. Regis</v>
      </c>
      <c r="P17" s="441"/>
      <c r="Q17" s="347"/>
      <c r="S17" s="277" t="str">
        <f t="shared" si="0"/>
        <v>CARIB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 t="s">
        <v>6</v>
      </c>
      <c r="C18" s="366" t="str">
        <f>[23]Brewhouse!$A334</f>
        <v>CA231</v>
      </c>
      <c r="D18" s="279">
        <f>[23]Brewhouse!$AF334</f>
        <v>54.4</v>
      </c>
      <c r="E18" s="279">
        <f>[23]Brewhouse!$AI334</f>
        <v>51</v>
      </c>
      <c r="F18" s="278">
        <f>[23]Brewhouse!$V334</f>
        <v>61</v>
      </c>
      <c r="G18" s="279">
        <f>[23]Brewhouse!$AG334</f>
        <v>11.8</v>
      </c>
      <c r="H18" s="396">
        <v>11.9</v>
      </c>
      <c r="I18" s="368">
        <f>[23]Brewhouse!$AU334</f>
        <v>98.285972690602023</v>
      </c>
      <c r="J18" s="368">
        <f>[23]Brewhouse!$AV334</f>
        <v>99.58563993491066</v>
      </c>
      <c r="K18" s="281">
        <f>[23]Brewhouse!$Q334</f>
        <v>4.1428571428571432</v>
      </c>
      <c r="L18" s="276">
        <f>[23]Brewhouse!$P334</f>
        <v>61</v>
      </c>
      <c r="M18" s="397">
        <f>[23]Brewhouse!$U334-[23]Brewhouse!$T334</f>
        <v>0.1118055555555556</v>
      </c>
      <c r="N18" s="370">
        <f>[23]Brewhouse!$Z334</f>
        <v>0.24375000000000002</v>
      </c>
      <c r="O18" s="371" t="str">
        <f>[23]Brewhouse!$AX334</f>
        <v>R. Regis</v>
      </c>
      <c r="P18" s="441"/>
      <c r="Q18" s="347"/>
      <c r="S18" s="277" t="str">
        <f t="shared" si="0"/>
        <v>CARIB</v>
      </c>
      <c r="T18" s="296">
        <f t="shared" si="1"/>
        <v>11.6</v>
      </c>
      <c r="U18" s="296">
        <f t="shared" si="2"/>
        <v>12</v>
      </c>
      <c r="V18" s="297">
        <f t="shared" si="3"/>
        <v>0</v>
      </c>
      <c r="W18" s="297">
        <f t="shared" si="4"/>
        <v>0.118055555555556</v>
      </c>
      <c r="X18" s="297">
        <f t="shared" si="5"/>
        <v>0.22569444444444445</v>
      </c>
      <c r="Y18" s="297">
        <f t="shared" si="6"/>
        <v>0.2638888888888889</v>
      </c>
      <c r="Z18" s="297">
        <f t="shared" si="7"/>
        <v>0</v>
      </c>
      <c r="AA18" s="296">
        <f t="shared" si="8"/>
        <v>60</v>
      </c>
    </row>
    <row r="19" spans="1:27" ht="15.75" customHeight="1">
      <c r="B19" s="29" t="s">
        <v>6</v>
      </c>
      <c r="C19" s="366" t="str">
        <f>[23]Brewhouse!$A335</f>
        <v>CA232</v>
      </c>
      <c r="D19" s="279">
        <f>[23]Brewhouse!$AF335</f>
        <v>55</v>
      </c>
      <c r="E19" s="279">
        <f>[23]Brewhouse!$AI335</f>
        <v>51.3</v>
      </c>
      <c r="F19" s="278">
        <f>[23]Brewhouse!$V335</f>
        <v>61</v>
      </c>
      <c r="G19" s="279">
        <f>[23]Brewhouse!$AG335</f>
        <v>12</v>
      </c>
      <c r="H19" s="396">
        <v>12</v>
      </c>
      <c r="I19" s="368">
        <f>[23]Brewhouse!$AU335</f>
        <v>101.59569981419895</v>
      </c>
      <c r="J19" s="368">
        <f>[23]Brewhouse!$AV335</f>
        <v>102.99630880339723</v>
      </c>
      <c r="K19" s="392"/>
      <c r="L19" s="276">
        <f>[23]Brewhouse!$P335</f>
        <v>58</v>
      </c>
      <c r="M19" s="397">
        <f>[23]Brewhouse!$U335-[23]Brewhouse!$T335</f>
        <v>0.10416666666666674</v>
      </c>
      <c r="N19" s="370">
        <f>[23]Brewhouse!$Z335</f>
        <v>0.24305555555555558</v>
      </c>
      <c r="O19" s="371" t="str">
        <f>[23]Brewhouse!$AX335</f>
        <v>R.Sookram</v>
      </c>
      <c r="P19" s="441"/>
      <c r="Q19" s="347"/>
      <c r="S19" s="277" t="str">
        <f t="shared" si="0"/>
        <v>CARIB</v>
      </c>
      <c r="T19" s="296">
        <f t="shared" si="1"/>
        <v>11.6</v>
      </c>
      <c r="U19" s="296">
        <f t="shared" si="2"/>
        <v>12</v>
      </c>
      <c r="V19" s="297">
        <f t="shared" si="3"/>
        <v>0</v>
      </c>
      <c r="W19" s="297">
        <f t="shared" si="4"/>
        <v>0.118055555555556</v>
      </c>
      <c r="X19" s="297">
        <f t="shared" si="5"/>
        <v>0.22569444444444445</v>
      </c>
      <c r="Y19" s="297">
        <f t="shared" si="6"/>
        <v>0.2638888888888889</v>
      </c>
      <c r="Z19" s="297">
        <f t="shared" si="7"/>
        <v>0</v>
      </c>
      <c r="AA19" s="296">
        <f t="shared" si="8"/>
        <v>60</v>
      </c>
    </row>
    <row r="20" spans="1:27" ht="15.75" customHeight="1">
      <c r="B20" s="29" t="s">
        <v>6</v>
      </c>
      <c r="C20" s="366" t="str">
        <f>[23]Brewhouse!$A336</f>
        <v>CA233</v>
      </c>
      <c r="D20" s="279">
        <f>[23]Brewhouse!$AF336</f>
        <v>55.3</v>
      </c>
      <c r="E20" s="279">
        <f>[23]Brewhouse!$AI336</f>
        <v>50.8</v>
      </c>
      <c r="F20" s="278">
        <f>[23]Brewhouse!$V336</f>
        <v>59</v>
      </c>
      <c r="G20" s="279">
        <f>[23]Brewhouse!$AG336</f>
        <v>12</v>
      </c>
      <c r="H20" s="396">
        <v>12</v>
      </c>
      <c r="I20" s="368">
        <f>[23]Brewhouse!$AU336</f>
        <v>100.35668628710914</v>
      </c>
      <c r="J20" s="368">
        <f>[23]Brewhouse!$AV336</f>
        <v>101.7403654147152</v>
      </c>
      <c r="K20" s="281">
        <f>[23]Brewhouse!$Q336</f>
        <v>2.882562277580079</v>
      </c>
      <c r="L20" s="276">
        <f>[23]Brewhouse!$P336</f>
        <v>57</v>
      </c>
      <c r="M20" s="397">
        <f>[23]Brewhouse!$U336-[23]Brewhouse!$T336</f>
        <v>0.1166666666666667</v>
      </c>
      <c r="N20" s="370">
        <f>[23]Brewhouse!$Z336</f>
        <v>0.25902777777777786</v>
      </c>
      <c r="O20" s="371" t="str">
        <f>[23]Brewhouse!$AX336</f>
        <v>R.Sookram</v>
      </c>
      <c r="P20" s="441"/>
      <c r="Q20" s="347"/>
      <c r="S20" s="277" t="str">
        <f t="shared" si="0"/>
        <v>CARIB</v>
      </c>
      <c r="T20" s="296">
        <f t="shared" si="1"/>
        <v>11.6</v>
      </c>
      <c r="U20" s="296">
        <f t="shared" si="2"/>
        <v>12</v>
      </c>
      <c r="V20" s="297">
        <f t="shared" si="3"/>
        <v>0</v>
      </c>
      <c r="W20" s="297">
        <f t="shared" si="4"/>
        <v>0.118055555555556</v>
      </c>
      <c r="X20" s="297">
        <f t="shared" si="5"/>
        <v>0.22569444444444445</v>
      </c>
      <c r="Y20" s="297">
        <f t="shared" si="6"/>
        <v>0.2638888888888889</v>
      </c>
      <c r="Z20" s="297">
        <f t="shared" si="7"/>
        <v>0</v>
      </c>
      <c r="AA20" s="296">
        <f t="shared" si="8"/>
        <v>60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35" t="str">
        <f>I25</f>
        <v>CARIB</v>
      </c>
      <c r="C25" s="362">
        <f>[23]Process!D255</f>
        <v>11.9</v>
      </c>
      <c r="D25" s="485">
        <v>11.73</v>
      </c>
      <c r="E25" s="486"/>
      <c r="F25" s="294"/>
      <c r="G25" s="294"/>
      <c r="H25" s="348"/>
      <c r="I25" s="29" t="s">
        <v>6</v>
      </c>
      <c r="J25" s="280">
        <f>AVERAGE(I16:I20)</f>
        <v>98.824180579657735</v>
      </c>
      <c r="K25" s="284">
        <f>COUNTA([23]Brewhouse!$A$255:$A$336)</f>
        <v>82</v>
      </c>
      <c r="L25" s="302">
        <f>AVERAGE([23]Brewhouse!$AU$255:$AU336)</f>
        <v>98.861257936689896</v>
      </c>
      <c r="M25" s="302">
        <f>AVERAGE([23]Brewhouse!$AU$102:$AU$171,[23]Brewhouse!$AU$173:$AU$253,[23]Brewhouse!$AU$255:$AU$336)</f>
        <v>96.752312463673931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3"/>
      <c r="C26" s="349">
        <f>[23]Process!D256</f>
        <v>11.8</v>
      </c>
      <c r="D26" s="487"/>
      <c r="E26" s="488"/>
      <c r="F26" s="294"/>
      <c r="G26" s="294"/>
      <c r="H26" s="348"/>
      <c r="I26" s="33" t="s">
        <v>9</v>
      </c>
      <c r="J26" s="280"/>
      <c r="K26" s="284">
        <f>COUNTA([24]Brewhouse!$A$105:$A$136)</f>
        <v>32</v>
      </c>
      <c r="L26" s="302">
        <f>AVERAGE([24]Brewhouse!$AS$105:$AS$136)</f>
        <v>98.98059636856776</v>
      </c>
      <c r="M26" s="302">
        <f>AVERAGE([24]Brewhouse!$AS$15:$AS$64,[24]Brewhouse!$AS$66:$AS$103,[24]Brewhouse!$AS$105:$AS$136)</f>
        <v>96.712617129111081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3"/>
      <c r="C27" s="349">
        <f>[23]Process!D257</f>
        <v>11.9</v>
      </c>
      <c r="D27" s="485">
        <v>11.85</v>
      </c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>
        <f>[23]Process!D258</f>
        <v>12.06</v>
      </c>
      <c r="D28" s="487"/>
      <c r="E28" s="488"/>
      <c r="F28" s="294"/>
      <c r="G28" s="294"/>
      <c r="H28" s="348"/>
      <c r="I28" s="22" t="s">
        <v>33</v>
      </c>
      <c r="J28" s="280">
        <f>AVERAGE(I10:I11)</f>
        <v>99.636384295842788</v>
      </c>
      <c r="K28" s="284">
        <f>COUNTA([26]Brewhouse!$A$21:$A$24)</f>
        <v>4</v>
      </c>
      <c r="L28" s="302">
        <f>AVERAGE([26]Brewhouse!$AV$21:$AV$24)</f>
        <v>99.963723576245656</v>
      </c>
      <c r="M28" s="302">
        <f>AVERAGE([26]Brewhouse!$AV$5:$AV$14,[26]Brewhouse!$AV$16:$AV$19,[26]Brewhouse!$AV$21:$AV$24)</f>
        <v>98.616016873478046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3"/>
      <c r="C29" s="349">
        <f>[23]Process!D259</f>
        <v>12</v>
      </c>
      <c r="D29" s="485">
        <v>11.87</v>
      </c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3"/>
      <c r="C30" s="349">
        <f>[23]Process!D260</f>
        <v>11.8</v>
      </c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>
        <f>[23]Process!D261</f>
        <v>11.76</v>
      </c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3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3"/>
      <c r="C35" s="349"/>
      <c r="D35" s="485"/>
      <c r="E35" s="486"/>
      <c r="F35" s="294"/>
      <c r="G35" s="294"/>
      <c r="H35" s="348"/>
      <c r="I35" s="1"/>
      <c r="J35" s="39"/>
      <c r="K35" s="408">
        <f>SUM(K25:K34)</f>
        <v>134</v>
      </c>
      <c r="L35" s="409">
        <f>((L25*K25)+(L26*K26)+(L27*K27)+(L28*K28)+(L29*K29)+(K32*L32)+(L30*K30)+(L31*K31)+(L34*K34))/(K35)</f>
        <v>98.835316544003803</v>
      </c>
      <c r="M35" s="409">
        <f>AVERAGE('[29]Jan 31st'!$L$65,'[30]Feb 28th'!$L$35,L35)</f>
        <v>96.759430990467607</v>
      </c>
      <c r="N35" s="40">
        <v>98</v>
      </c>
      <c r="O35" s="11"/>
      <c r="P35" s="31"/>
      <c r="S35" s="23"/>
    </row>
    <row r="36" spans="1:57" ht="15" thickBot="1">
      <c r="B36" s="533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51" t="str">
        <f>J39</f>
        <v>CARIB</v>
      </c>
      <c r="C37" s="362">
        <f>[23]Process!D282</f>
        <v>11.98</v>
      </c>
      <c r="D37" s="498">
        <v>11.63</v>
      </c>
      <c r="E37" s="499"/>
      <c r="F37" s="43"/>
      <c r="G37" s="41"/>
      <c r="H37" s="41"/>
      <c r="I37" s="42"/>
      <c r="J37" s="548" t="s">
        <v>129</v>
      </c>
      <c r="K37" s="54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496"/>
      <c r="C38" s="349">
        <f>[23]Process!D283</f>
        <v>11.78</v>
      </c>
      <c r="D38" s="500"/>
      <c r="E38" s="488"/>
      <c r="F38" s="43"/>
      <c r="G38" s="41"/>
      <c r="H38" s="41"/>
      <c r="I38" s="42"/>
      <c r="J38" s="292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496"/>
      <c r="C39" s="349">
        <f>[23]Process!D284</f>
        <v>11.7</v>
      </c>
      <c r="D39" s="504">
        <v>11.6</v>
      </c>
      <c r="E39" s="486"/>
      <c r="F39" s="43"/>
      <c r="G39" s="41"/>
      <c r="H39" s="41"/>
      <c r="I39" s="42"/>
      <c r="J39" s="287" t="s">
        <v>6</v>
      </c>
      <c r="K39" s="324">
        <f>COUNTA(B16:B20)</f>
        <v>5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496"/>
      <c r="C40" s="349">
        <f>[23]Process!D285</f>
        <v>11.5</v>
      </c>
      <c r="D40" s="500"/>
      <c r="E40" s="488"/>
      <c r="F40" s="43"/>
      <c r="G40" s="41"/>
      <c r="H40" s="41"/>
      <c r="I40" s="42"/>
      <c r="J40" s="345" t="s">
        <v>9</v>
      </c>
      <c r="K40" s="324"/>
      <c r="L40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20th'!K49,'Mar. 21th'!K44,'Mar. 24th'!K49,'Mar. 25th'!K49,'Mar. 26th '!K49,'Mar. 27th '!K49)</f>
        <v>6.333333333333333</v>
      </c>
      <c r="M40" s="325">
        <f>AVERAGE('[29]Jan 29th '!$M$70,'[30]Feb 28th'!$L$40,L40)</f>
        <v>6.6147741147741144</v>
      </c>
      <c r="N40" s="400">
        <v>10</v>
      </c>
      <c r="O40" s="294"/>
      <c r="P40" s="12"/>
      <c r="S40" s="23"/>
    </row>
    <row r="41" spans="1:57" ht="15" customHeight="1">
      <c r="B41" s="496"/>
      <c r="C41" s="349"/>
      <c r="D41" s="504">
        <v>11.6</v>
      </c>
      <c r="E41" s="486"/>
      <c r="F41" s="43"/>
      <c r="G41" s="41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 thickBot="1">
      <c r="B42" s="552"/>
      <c r="C42" s="349"/>
      <c r="D42" s="500"/>
      <c r="E42" s="488"/>
      <c r="F42" s="43"/>
      <c r="G42" s="41"/>
      <c r="H42" s="41"/>
      <c r="I42" s="42"/>
      <c r="J42" s="289" t="s">
        <v>33</v>
      </c>
      <c r="K42" s="324">
        <v>2</v>
      </c>
      <c r="L42" s="294"/>
      <c r="M42" s="294"/>
      <c r="N42" s="294"/>
      <c r="O42" s="294"/>
      <c r="P42" s="12"/>
      <c r="S42" s="23"/>
    </row>
    <row r="43" spans="1:57" ht="14.4">
      <c r="B43" s="549" t="str">
        <f>I28</f>
        <v>VITAMALT</v>
      </c>
      <c r="C43" s="349">
        <f>[26]Process!D21</f>
        <v>14.3</v>
      </c>
      <c r="D43" s="504">
        <v>16.579999999999998</v>
      </c>
      <c r="E43" s="486"/>
      <c r="F43" s="43"/>
      <c r="G43" s="41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49"/>
      <c r="C44" s="349">
        <f>[26]Process!D22</f>
        <v>14.6</v>
      </c>
      <c r="D44" s="500"/>
      <c r="E44" s="488"/>
      <c r="F44" s="43"/>
      <c r="G44" s="41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49"/>
      <c r="C45" s="349">
        <f>[26]Process!D23</f>
        <v>14.7</v>
      </c>
      <c r="D45" s="505">
        <v>16.66</v>
      </c>
      <c r="E45" s="490"/>
      <c r="F45" s="43"/>
      <c r="G45" s="41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50"/>
      <c r="C46" s="350">
        <f>[26]Process!D24</f>
        <v>14.1</v>
      </c>
      <c r="D46" s="506"/>
      <c r="E46" s="507"/>
      <c r="F46" s="43"/>
      <c r="G46" s="41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12.94</v>
      </c>
      <c r="E47" s="509"/>
      <c r="F47" s="43"/>
      <c r="G47" s="41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346" t="s">
        <v>130</v>
      </c>
      <c r="K49" s="324">
        <f>SUM(K39:K48)</f>
        <v>7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>
      <c r="B54" s="430" t="s">
        <v>64</v>
      </c>
      <c r="C54" s="283">
        <v>45743</v>
      </c>
      <c r="D54" s="377">
        <f>[31]March_2025!$AD$3</f>
        <v>400.5</v>
      </c>
      <c r="E54" s="378"/>
      <c r="F54" s="379"/>
      <c r="G54" s="303">
        <f>[31]March_2025!$AD$7</f>
        <v>368.70000000000005</v>
      </c>
      <c r="H54" s="320"/>
      <c r="I54" s="322"/>
      <c r="J54" s="360" t="s">
        <v>208</v>
      </c>
      <c r="K54" s="433">
        <f>[33]March_2025!$AD$18</f>
        <v>0.25873684210526321</v>
      </c>
      <c r="L54" s="314">
        <f>(((D54+E54)-G54)/(D54+E54))*100</f>
        <v>7.9400749063670295</v>
      </c>
      <c r="M54" s="357" t="s">
        <v>207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4.4" thickBot="1">
      <c r="B55" s="430"/>
      <c r="C55" s="283"/>
      <c r="D55" s="377"/>
      <c r="E55" s="378"/>
      <c r="F55" s="379"/>
      <c r="G55" s="303"/>
      <c r="H55" s="320"/>
      <c r="I55" s="322"/>
      <c r="J55" s="398"/>
      <c r="K55" s="286"/>
      <c r="L55" s="314"/>
      <c r="M55" s="357"/>
      <c r="N55" s="13"/>
      <c r="O55" s="13"/>
      <c r="P55" s="50"/>
      <c r="T55" s="272"/>
      <c r="U55" s="448"/>
      <c r="V55" s="448"/>
      <c r="W55" s="448"/>
      <c r="X55" s="448"/>
      <c r="Y55" s="448"/>
      <c r="Z55" s="448"/>
      <c r="AA55" s="448"/>
      <c r="AB55" s="448"/>
      <c r="AC55" s="448"/>
      <c r="AD55" s="448"/>
      <c r="AE55" s="448"/>
      <c r="AF55" s="448"/>
      <c r="AG55" s="448"/>
      <c r="AH55" s="448"/>
      <c r="AI55" s="448"/>
      <c r="AJ55" s="448"/>
      <c r="AK55" s="448"/>
      <c r="AL55" s="448"/>
      <c r="AM55" s="448"/>
      <c r="AN55" s="448"/>
      <c r="AO55" s="448"/>
      <c r="AP55" s="448"/>
      <c r="AQ55" s="448"/>
      <c r="AR55" s="448"/>
      <c r="AS55" s="448"/>
      <c r="AT55" s="448"/>
      <c r="AU55" s="448"/>
      <c r="AV55" s="448"/>
      <c r="AW55" s="448"/>
      <c r="AX55" s="448"/>
    </row>
    <row r="56" spans="2:58" s="54" customFormat="1" ht="59.25" customHeight="1">
      <c r="B56" s="430" t="str">
        <f>J39</f>
        <v>CARIB</v>
      </c>
      <c r="C56" s="283">
        <v>45743</v>
      </c>
      <c r="D56" s="377">
        <f>[31]March_2025!$AE$3</f>
        <v>201.59999999999997</v>
      </c>
      <c r="E56" s="378"/>
      <c r="F56" s="379"/>
      <c r="G56" s="303">
        <f>[31]March_2025!$AE$7</f>
        <v>186</v>
      </c>
      <c r="H56" s="320"/>
      <c r="I56" s="322"/>
      <c r="J56" s="360" t="s">
        <v>150</v>
      </c>
      <c r="K56" s="286">
        <f>[33]March_2025!$AE$18</f>
        <v>0.65263157894736845</v>
      </c>
      <c r="L56" s="314">
        <f>(((D56+E56)-G56)/(D56+E56))*100</f>
        <v>7.738095238095223</v>
      </c>
      <c r="M56" s="357" t="s">
        <v>200</v>
      </c>
      <c r="N56" s="13"/>
      <c r="O56" s="13"/>
      <c r="P56" s="50"/>
      <c r="T56" s="272"/>
      <c r="U56" s="448"/>
      <c r="V56" s="448"/>
      <c r="W56" s="448"/>
      <c r="X56" s="448"/>
      <c r="Y56" s="448"/>
      <c r="Z56" s="448"/>
      <c r="AA56" s="448"/>
      <c r="AB56" s="448"/>
      <c r="AC56" s="448"/>
      <c r="AD56" s="448"/>
      <c r="AE56" s="448"/>
      <c r="AF56" s="448"/>
      <c r="AG56" s="448"/>
      <c r="AH56" s="448"/>
      <c r="AI56" s="448"/>
      <c r="AJ56" s="448"/>
      <c r="AK56" s="448"/>
      <c r="AL56" s="448"/>
      <c r="AM56" s="448"/>
      <c r="AN56" s="448"/>
      <c r="AO56" s="448"/>
      <c r="AP56" s="448"/>
      <c r="AQ56" s="448"/>
      <c r="AR56" s="448"/>
      <c r="AS56" s="448"/>
      <c r="AT56" s="448"/>
      <c r="AU56" s="448"/>
      <c r="AV56" s="448"/>
      <c r="AW56" s="448"/>
      <c r="AX56" s="448"/>
    </row>
    <row r="57" spans="2:58" s="54" customFormat="1" ht="14.4" thickBot="1">
      <c r="B57" s="387"/>
      <c r="C57" s="283"/>
      <c r="D57" s="279"/>
      <c r="E57" s="279"/>
      <c r="F57" s="279"/>
      <c r="G57" s="279"/>
      <c r="H57" s="320"/>
      <c r="I57" s="322"/>
      <c r="J57" s="281"/>
      <c r="K57" s="434"/>
      <c r="L57" s="314"/>
      <c r="M57" s="384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ht="58.5" customHeight="1" thickBot="1">
      <c r="B58" s="449" t="str">
        <f>B65</f>
        <v>VITAMALT</v>
      </c>
      <c r="C58" s="283">
        <f>C56</f>
        <v>45743</v>
      </c>
      <c r="D58" s="279">
        <f>[31]March_2025!$AE$65</f>
        <v>195.2</v>
      </c>
      <c r="E58" s="279">
        <f>[32]VITAMALT!$J$6+[32]VITAMALT!$J$8</f>
        <v>8.1999999999999993</v>
      </c>
      <c r="F58" s="279">
        <f>D58</f>
        <v>195.2</v>
      </c>
      <c r="G58" s="279">
        <f>[31]March_2025!$AE$70</f>
        <v>182.9</v>
      </c>
      <c r="H58" s="320"/>
      <c r="I58" s="322"/>
      <c r="J58" s="390" t="s">
        <v>209</v>
      </c>
      <c r="K58" s="52">
        <f>[33]March_2025!$AE$60</f>
        <v>0.6417543859649123</v>
      </c>
      <c r="L58" s="314">
        <f>(((D58+E58)-G58)/(D58+E58))*100</f>
        <v>10.078662733529978</v>
      </c>
      <c r="M58" s="357" t="s">
        <v>210</v>
      </c>
      <c r="N58" s="77"/>
      <c r="O58" s="13"/>
      <c r="P58" s="56"/>
    </row>
    <row r="59" spans="2:58" ht="18" customHeight="1" thickBot="1">
      <c r="B59" s="58"/>
      <c r="C59" s="309"/>
      <c r="D59" s="58"/>
      <c r="E59" s="58"/>
      <c r="F59" s="58"/>
      <c r="G59" s="58"/>
      <c r="H59" s="58"/>
      <c r="I59" s="58"/>
      <c r="J59" s="59"/>
      <c r="K59" s="58"/>
      <c r="L59" s="58"/>
      <c r="M59" s="58"/>
      <c r="N59" s="59"/>
      <c r="O59" s="56"/>
      <c r="P59" s="60"/>
    </row>
    <row r="60" spans="2:58" ht="14.4" thickBot="1">
      <c r="B60" s="517" t="s">
        <v>55</v>
      </c>
      <c r="C60" s="518"/>
      <c r="D60" s="518"/>
      <c r="E60" s="518"/>
      <c r="F60" s="519"/>
      <c r="G60" s="517" t="s">
        <v>56</v>
      </c>
      <c r="H60" s="518"/>
      <c r="I60" s="518"/>
      <c r="J60" s="519"/>
      <c r="K60" s="517" t="s">
        <v>51</v>
      </c>
      <c r="L60" s="518"/>
      <c r="M60" s="518"/>
      <c r="N60" s="520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>
        <f>AVERAGE(L54,L56)</f>
        <v>7.8390850722311267</v>
      </c>
      <c r="D62" s="76">
        <v>7.8580798816323947</v>
      </c>
      <c r="E62" s="76">
        <v>7.2815809609816009</v>
      </c>
      <c r="F62" s="66">
        <v>4.8</v>
      </c>
      <c r="G62" s="65">
        <f>AVERAGE([31]March_2025!$AD$11,[31]March_2025!$AE$11)</f>
        <v>9.067992475879775</v>
      </c>
      <c r="H62" s="76">
        <v>8.7142691174882003</v>
      </c>
      <c r="I62" s="76">
        <v>7.8660707053589336</v>
      </c>
      <c r="J62" s="66">
        <v>4.8</v>
      </c>
      <c r="K62" s="67">
        <f>AVERAGE(K54,K56)</f>
        <v>0.4556842105263158</v>
      </c>
      <c r="L62" s="194">
        <v>0.61378248236514221</v>
      </c>
      <c r="M62" s="194">
        <v>0.76454370229477853</v>
      </c>
      <c r="N62" s="68">
        <v>1</v>
      </c>
      <c r="O62" s="56"/>
      <c r="P62" s="69"/>
    </row>
    <row r="63" spans="2:58">
      <c r="B63" s="33" t="s">
        <v>9</v>
      </c>
      <c r="C63" s="65"/>
      <c r="D63" s="76">
        <v>7.9655471723309335</v>
      </c>
      <c r="E63" s="76">
        <v>7.1359671394026973</v>
      </c>
      <c r="F63" s="66">
        <v>4.8</v>
      </c>
      <c r="G63" s="65"/>
      <c r="H63" s="76">
        <v>8.8444569053591984</v>
      </c>
      <c r="I63" s="76">
        <v>7.4685121493758038</v>
      </c>
      <c r="J63" s="66">
        <v>4.8</v>
      </c>
      <c r="K63" s="67"/>
      <c r="L63" s="194">
        <v>0.8286568662303172</v>
      </c>
      <c r="M63" s="194">
        <v>0.74260444492159683</v>
      </c>
      <c r="N63" s="68">
        <v>1</v>
      </c>
      <c r="P63" s="69"/>
    </row>
    <row r="64" spans="2:58">
      <c r="B64" s="34" t="s">
        <v>40</v>
      </c>
      <c r="C64" s="65"/>
      <c r="D64" s="76">
        <v>10.435585654917661</v>
      </c>
      <c r="E64" s="76">
        <v>12.471734214646009</v>
      </c>
      <c r="F64" s="66">
        <v>5.5</v>
      </c>
      <c r="G64" s="65"/>
      <c r="H64" s="76">
        <v>12.668687929841122</v>
      </c>
      <c r="I64" s="76">
        <v>14.436247754556394</v>
      </c>
      <c r="J64" s="66">
        <v>5.5</v>
      </c>
      <c r="K64" s="67"/>
      <c r="L64" s="194">
        <v>0.54249999999999998</v>
      </c>
      <c r="M64" s="194">
        <v>0.52401498127340829</v>
      </c>
      <c r="N64" s="68">
        <v>1</v>
      </c>
      <c r="P64" s="69"/>
    </row>
    <row r="65" spans="2:16">
      <c r="B65" s="22" t="s">
        <v>33</v>
      </c>
      <c r="C65" s="65">
        <f>L58</f>
        <v>10.078662733529978</v>
      </c>
      <c r="D65" s="76">
        <v>10.078662733529978</v>
      </c>
      <c r="E65" s="76">
        <v>4.43750696844688</v>
      </c>
      <c r="F65" s="66">
        <v>3.3</v>
      </c>
      <c r="G65" s="65">
        <f>[31]March_2025!$AE$74</f>
        <v>9.2204897908965187</v>
      </c>
      <c r="H65" s="76">
        <v>9.2204897908965187</v>
      </c>
      <c r="I65" s="76">
        <v>6.209437755460022</v>
      </c>
      <c r="J65" s="66">
        <v>3.3</v>
      </c>
      <c r="K65" s="67">
        <f>K58</f>
        <v>0.6417543859649123</v>
      </c>
      <c r="L65" s="194">
        <v>0.6417543859649123</v>
      </c>
      <c r="M65" s="194">
        <v>0.75184210526315787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>
        <v>3.0622243998040313</v>
      </c>
      <c r="E68" s="76">
        <v>2.5618217399039276</v>
      </c>
      <c r="F68" s="66">
        <v>3.3</v>
      </c>
      <c r="G68" s="282"/>
      <c r="H68" s="76">
        <v>4.90230047253743</v>
      </c>
      <c r="I68" s="76">
        <v>4.6996399261015078</v>
      </c>
      <c r="J68" s="66">
        <v>3.3</v>
      </c>
      <c r="K68" s="67"/>
      <c r="L68" s="194">
        <v>0.98924999999999996</v>
      </c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37" t="s">
        <v>165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7.7913802092711091</v>
      </c>
      <c r="E71" s="76">
        <v>7.3035358678488356</v>
      </c>
      <c r="F71" s="341">
        <v>4.5</v>
      </c>
      <c r="H71" s="76">
        <v>8.9891478776434699</v>
      </c>
      <c r="I71" s="76">
        <v>8.2531947287414855</v>
      </c>
      <c r="J71" s="341">
        <v>4.5</v>
      </c>
      <c r="L71" s="194">
        <v>0.68279420289855075</v>
      </c>
      <c r="M71" s="194">
        <v>0.73132839162999008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3">
    <mergeCell ref="Q8:Q9"/>
    <mergeCell ref="I8:I9"/>
    <mergeCell ref="J8:J9"/>
    <mergeCell ref="K8:K9"/>
    <mergeCell ref="M4:N4"/>
    <mergeCell ref="L8:L9"/>
    <mergeCell ref="O8:O9"/>
    <mergeCell ref="P8:P9"/>
    <mergeCell ref="C5:D5"/>
    <mergeCell ref="B8:B9"/>
    <mergeCell ref="C8:C9"/>
    <mergeCell ref="D8:D9"/>
    <mergeCell ref="G8:G9"/>
    <mergeCell ref="T1:U1"/>
    <mergeCell ref="V1:W1"/>
    <mergeCell ref="X1:Y1"/>
    <mergeCell ref="Z1:AA1"/>
    <mergeCell ref="B2:O2"/>
    <mergeCell ref="J37:K37"/>
    <mergeCell ref="L38:N38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H8:H9"/>
    <mergeCell ref="D39:E40"/>
    <mergeCell ref="D41:E42"/>
    <mergeCell ref="D43:E44"/>
    <mergeCell ref="D45:E46"/>
    <mergeCell ref="D37:E38"/>
    <mergeCell ref="B43:B46"/>
    <mergeCell ref="B37:B42"/>
    <mergeCell ref="D47:E47"/>
    <mergeCell ref="B52:B53"/>
    <mergeCell ref="C52:C53"/>
    <mergeCell ref="D52:D53"/>
    <mergeCell ref="E52:E53"/>
    <mergeCell ref="M52:M53"/>
    <mergeCell ref="B60:F60"/>
    <mergeCell ref="G60:J60"/>
    <mergeCell ref="K60:N60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423" priority="118" operator="notBetween">
      <formula>#REF!</formula>
      <formula>#REF!</formula>
    </cfRule>
  </conditionalFormatting>
  <conditionalFormatting sqref="C51">
    <cfRule type="cellIs" dxfId="422" priority="150" stopIfTrue="1" operator="greaterThan">
      <formula>100</formula>
    </cfRule>
    <cfRule type="cellIs" dxfId="421" priority="149" stopIfTrue="1" operator="lessThan">
      <formula>96</formula>
    </cfRule>
  </conditionalFormatting>
  <conditionalFormatting sqref="C62">
    <cfRule type="cellIs" dxfId="420" priority="73" stopIfTrue="1" operator="greaterThan">
      <formula>$F62</formula>
    </cfRule>
  </conditionalFormatting>
  <conditionalFormatting sqref="C62:C63">
    <cfRule type="cellIs" dxfId="419" priority="74" stopIfTrue="1" operator="lessThanOrEqual">
      <formula>0</formula>
    </cfRule>
  </conditionalFormatting>
  <conditionalFormatting sqref="C63">
    <cfRule type="cellIs" dxfId="418" priority="153" stopIfTrue="1" operator="greaterThan">
      <formula>$F62</formula>
    </cfRule>
  </conditionalFormatting>
  <conditionalFormatting sqref="C64:C66">
    <cfRule type="cellIs" dxfId="417" priority="98" stopIfTrue="1" operator="greaterThan">
      <formula>$F64</formula>
    </cfRule>
  </conditionalFormatting>
  <conditionalFormatting sqref="C64:C67">
    <cfRule type="cellIs" dxfId="416" priority="102" stopIfTrue="1" operator="lessThanOrEqual">
      <formula>0</formula>
    </cfRule>
  </conditionalFormatting>
  <conditionalFormatting sqref="C67">
    <cfRule type="cellIs" dxfId="415" priority="101" stopIfTrue="1" operator="greaterThan">
      <formula>$J67</formula>
    </cfRule>
  </conditionalFormatting>
  <conditionalFormatting sqref="C73:C77">
    <cfRule type="cellIs" dxfId="414" priority="141" stopIfTrue="1" operator="lessThanOrEqual">
      <formula>0</formula>
    </cfRule>
  </conditionalFormatting>
  <conditionalFormatting sqref="C74:C77">
    <cfRule type="cellIs" dxfId="413" priority="140" stopIfTrue="1" operator="greaterThan">
      <formula>$F$73</formula>
    </cfRule>
  </conditionalFormatting>
  <conditionalFormatting sqref="C79">
    <cfRule type="cellIs" dxfId="412" priority="143" stopIfTrue="1" operator="lessThanOrEqual">
      <formula>0</formula>
    </cfRule>
    <cfRule type="cellIs" dxfId="411" priority="142" stopIfTrue="1" operator="greaterThan">
      <formula>$F$73</formula>
    </cfRule>
  </conditionalFormatting>
  <conditionalFormatting sqref="C73:D73 D75:D81">
    <cfRule type="cellIs" dxfId="410" priority="135" stopIfTrue="1" operator="greaterThan">
      <formula>4.5</formula>
    </cfRule>
  </conditionalFormatting>
  <conditionalFormatting sqref="D47:D48">
    <cfRule type="cellIs" dxfId="409" priority="119" operator="notBetween">
      <formula>#REF!</formula>
      <formula>#REF!</formula>
    </cfRule>
  </conditionalFormatting>
  <conditionalFormatting sqref="D62:D69">
    <cfRule type="cellIs" dxfId="408" priority="112" stopIfTrue="1" operator="lessThanOrEqual">
      <formula>0</formula>
    </cfRule>
  </conditionalFormatting>
  <conditionalFormatting sqref="D70">
    <cfRule type="cellIs" dxfId="407" priority="111" stopIfTrue="1" operator="lessThanOrEqual">
      <formula>0</formula>
    </cfRule>
  </conditionalFormatting>
  <conditionalFormatting sqref="D73 D75:D81">
    <cfRule type="cellIs" dxfId="406" priority="136" stopIfTrue="1" operator="lessThanOrEqual">
      <formula>0</formula>
    </cfRule>
  </conditionalFormatting>
  <conditionalFormatting sqref="D74">
    <cfRule type="cellIs" dxfId="405" priority="127" stopIfTrue="1" operator="greaterThan">
      <formula>$F$73</formula>
    </cfRule>
    <cfRule type="cellIs" dxfId="404" priority="128" stopIfTrue="1" operator="lessThanOrEqual">
      <formula>0</formula>
    </cfRule>
  </conditionalFormatting>
  <conditionalFormatting sqref="D62:E71">
    <cfRule type="cellIs" dxfId="403" priority="70" stopIfTrue="1" operator="greaterThan">
      <formula>$F62</formula>
    </cfRule>
  </conditionalFormatting>
  <conditionalFormatting sqref="D71:E71">
    <cfRule type="cellIs" dxfId="402" priority="71" stopIfTrue="1" operator="lessThanOrEqual">
      <formula>0</formula>
    </cfRule>
  </conditionalFormatting>
  <conditionalFormatting sqref="E10:E22">
    <cfRule type="cellIs" dxfId="401" priority="22" operator="lessThan">
      <formula>48</formula>
    </cfRule>
  </conditionalFormatting>
  <conditionalFormatting sqref="E51">
    <cfRule type="cellIs" dxfId="400" priority="130" stopIfTrue="1" operator="greaterThan">
      <formula>100</formula>
    </cfRule>
    <cfRule type="cellIs" dxfId="399" priority="129" stopIfTrue="1" operator="lessThan">
      <formula>96.8</formula>
    </cfRule>
  </conditionalFormatting>
  <conditionalFormatting sqref="E62:E70">
    <cfRule type="cellIs" dxfId="398" priority="106" stopIfTrue="1" operator="lessThanOrEqual">
      <formula>0</formula>
    </cfRule>
  </conditionalFormatting>
  <conditionalFormatting sqref="E73:E81">
    <cfRule type="cellIs" dxfId="397" priority="122" stopIfTrue="1" operator="lessThanOrEqual">
      <formula>0</formula>
    </cfRule>
    <cfRule type="cellIs" dxfId="396" priority="121" stopIfTrue="1" operator="greaterThan">
      <formula>4.5</formula>
    </cfRule>
  </conditionalFormatting>
  <conditionalFormatting sqref="E50:F51">
    <cfRule type="cellIs" dxfId="395" priority="131" stopIfTrue="1" operator="lessThan">
      <formula>96.5</formula>
    </cfRule>
    <cfRule type="cellIs" dxfId="394" priority="132" stopIfTrue="1" operator="greaterThan">
      <formula>100</formula>
    </cfRule>
  </conditionalFormatting>
  <conditionalFormatting sqref="F10:F21">
    <cfRule type="cellIs" dxfId="393" priority="24" operator="greaterThan">
      <formula>60</formula>
    </cfRule>
  </conditionalFormatting>
  <conditionalFormatting sqref="F22">
    <cfRule type="cellIs" dxfId="392" priority="157" operator="greaterThan">
      <formula>$AA59</formula>
    </cfRule>
    <cfRule type="cellIs" dxfId="391" priority="156" operator="greaterThan">
      <formula>$AA22</formula>
    </cfRule>
  </conditionalFormatting>
  <conditionalFormatting sqref="F51">
    <cfRule type="cellIs" dxfId="390" priority="147" stopIfTrue="1" operator="lessThan">
      <formula>96.8</formula>
    </cfRule>
    <cfRule type="cellIs" dxfId="389" priority="148" stopIfTrue="1" operator="greaterThan">
      <formula>100</formula>
    </cfRule>
  </conditionalFormatting>
  <conditionalFormatting sqref="F71">
    <cfRule type="cellIs" dxfId="388" priority="107" stopIfTrue="1" operator="greaterThan">
      <formula>$F71</formula>
    </cfRule>
    <cfRule type="cellIs" dxfId="387" priority="108" stopIfTrue="1" operator="lessThanOrEqual">
      <formula>0</formula>
    </cfRule>
  </conditionalFormatting>
  <conditionalFormatting sqref="G62:G63 C68:C70">
    <cfRule type="cellIs" dxfId="386" priority="113" stopIfTrue="1" operator="greaterThan">
      <formula>$F62</formula>
    </cfRule>
    <cfRule type="cellIs" dxfId="385" priority="114" stopIfTrue="1" operator="lessThanOrEqual">
      <formula>0</formula>
    </cfRule>
  </conditionalFormatting>
  <conditionalFormatting sqref="G62:G63">
    <cfRule type="cellIs" dxfId="384" priority="79" stopIfTrue="1" operator="greaterThan">
      <formula>$F62</formula>
    </cfRule>
    <cfRule type="cellIs" dxfId="383" priority="80" stopIfTrue="1" operator="lessThanOrEqual">
      <formula>0</formula>
    </cfRule>
  </conditionalFormatting>
  <conditionalFormatting sqref="G64">
    <cfRule type="cellIs" dxfId="382" priority="151" stopIfTrue="1" operator="greaterThan">
      <formula>$F63</formula>
    </cfRule>
    <cfRule type="cellIs" dxfId="381" priority="152" stopIfTrue="1" operator="lessThanOrEqual">
      <formula>0</formula>
    </cfRule>
  </conditionalFormatting>
  <conditionalFormatting sqref="G65">
    <cfRule type="cellIs" dxfId="380" priority="109" stopIfTrue="1" operator="greaterThan">
      <formula>$F65</formula>
    </cfRule>
    <cfRule type="cellIs" dxfId="379" priority="110" stopIfTrue="1" operator="lessThanOrEqual">
      <formula>0</formula>
    </cfRule>
  </conditionalFormatting>
  <conditionalFormatting sqref="G66:G70">
    <cfRule type="cellIs" dxfId="378" priority="116" stopIfTrue="1" operator="lessThanOrEqual">
      <formula>0</formula>
    </cfRule>
    <cfRule type="cellIs" dxfId="377" priority="115" stopIfTrue="1" operator="greaterThan">
      <formula>$J66</formula>
    </cfRule>
  </conditionalFormatting>
  <conditionalFormatting sqref="G75:G80 C78 C80">
    <cfRule type="cellIs" dxfId="376" priority="144" stopIfTrue="1" operator="greaterThan">
      <formula>4.5</formula>
    </cfRule>
    <cfRule type="cellIs" dxfId="375" priority="145" stopIfTrue="1" operator="lessThanOrEqual">
      <formula>0</formula>
    </cfRule>
  </conditionalFormatting>
  <conditionalFormatting sqref="G10:H22">
    <cfRule type="expression" dxfId="374" priority="16">
      <formula>IF(+(IF(G10&lt;#REF!,0,IF(G10&gt;#REF!,0,1)))=0,1)</formula>
    </cfRule>
  </conditionalFormatting>
  <conditionalFormatting sqref="G74:H74">
    <cfRule type="cellIs" dxfId="373" priority="125" stopIfTrue="1" operator="greaterThan">
      <formula>$F$73</formula>
    </cfRule>
    <cfRule type="cellIs" dxfId="372" priority="126" stopIfTrue="1" operator="lessThanOrEqual">
      <formula>0</formula>
    </cfRule>
  </conditionalFormatting>
  <conditionalFormatting sqref="H36:H49 G37:G48">
    <cfRule type="cellIs" dxfId="371" priority="123" stopIfTrue="1" operator="greaterThan">
      <formula>0</formula>
    </cfRule>
  </conditionalFormatting>
  <conditionalFormatting sqref="H54:H56">
    <cfRule type="cellIs" dxfId="370" priority="37" stopIfTrue="1" operator="greaterThan">
      <formula>$F$38</formula>
    </cfRule>
    <cfRule type="cellIs" dxfId="369" priority="40" stopIfTrue="1" operator="lessThanOrEqual">
      <formula>0</formula>
    </cfRule>
    <cfRule type="cellIs" dxfId="368" priority="29" stopIfTrue="1" operator="greaterThan">
      <formula>$F$35</formula>
    </cfRule>
    <cfRule type="cellIs" dxfId="367" priority="28" stopIfTrue="1" operator="lessThanOrEqual">
      <formula>0</formula>
    </cfRule>
    <cfRule type="cellIs" dxfId="366" priority="39" stopIfTrue="1" operator="greaterThan">
      <formula>$F$36</formula>
    </cfRule>
    <cfRule type="cellIs" dxfId="365" priority="38" stopIfTrue="1" operator="lessThanOrEqual">
      <formula>0</formula>
    </cfRule>
  </conditionalFormatting>
  <conditionalFormatting sqref="H57">
    <cfRule type="cellIs" dxfId="364" priority="94" stopIfTrue="1" operator="greaterThan">
      <formula>$F$64</formula>
    </cfRule>
    <cfRule type="cellIs" dxfId="363" priority="95" stopIfTrue="1" operator="lessThanOrEqual">
      <formula>0</formula>
    </cfRule>
    <cfRule type="cellIs" dxfId="362" priority="96" stopIfTrue="1" operator="greaterThan">
      <formula>$F$62</formula>
    </cfRule>
    <cfRule type="cellIs" dxfId="361" priority="97" stopIfTrue="1" operator="lessThanOrEqual">
      <formula>0</formula>
    </cfRule>
    <cfRule type="cellIs" dxfId="360" priority="86" stopIfTrue="1" operator="greaterThan">
      <formula>$F$61</formula>
    </cfRule>
    <cfRule type="cellIs" dxfId="359" priority="85" stopIfTrue="1" operator="lessThanOrEqual">
      <formula>0</formula>
    </cfRule>
  </conditionalFormatting>
  <conditionalFormatting sqref="H58">
    <cfRule type="cellIs" dxfId="358" priority="3" stopIfTrue="1" operator="lessThanOrEqual">
      <formula>0</formula>
    </cfRule>
    <cfRule type="cellIs" dxfId="357" priority="13" stopIfTrue="1" operator="lessThanOrEqual">
      <formula>0</formula>
    </cfRule>
    <cfRule type="cellIs" dxfId="356" priority="12" stopIfTrue="1" operator="greaterThan">
      <formula>$F$38</formula>
    </cfRule>
    <cfRule type="cellIs" dxfId="355" priority="15" stopIfTrue="1" operator="lessThanOrEqual">
      <formula>0</formula>
    </cfRule>
    <cfRule type="cellIs" dxfId="354" priority="14" stopIfTrue="1" operator="greaterThan">
      <formula>$F$36</formula>
    </cfRule>
    <cfRule type="cellIs" dxfId="353" priority="4" stopIfTrue="1" operator="greaterThan">
      <formula>$F$35</formula>
    </cfRule>
  </conditionalFormatting>
  <conditionalFormatting sqref="H62:H69">
    <cfRule type="cellIs" dxfId="352" priority="99" stopIfTrue="1" operator="greaterThan">
      <formula>$J62</formula>
    </cfRule>
    <cfRule type="cellIs" dxfId="351" priority="100" stopIfTrue="1" operator="lessThanOrEqual">
      <formula>0</formula>
    </cfRule>
  </conditionalFormatting>
  <conditionalFormatting sqref="H70">
    <cfRule type="cellIs" dxfId="350" priority="103" operator="greaterThan">
      <formula>5.3</formula>
    </cfRule>
  </conditionalFormatting>
  <conditionalFormatting sqref="H73 H75:H81">
    <cfRule type="cellIs" dxfId="349" priority="138" stopIfTrue="1" operator="lessThanOrEqual">
      <formula>0</formula>
    </cfRule>
    <cfRule type="cellIs" dxfId="348" priority="137" stopIfTrue="1" operator="greaterThan">
      <formula>4.5</formula>
    </cfRule>
  </conditionalFormatting>
  <conditionalFormatting sqref="H54:I56">
    <cfRule type="cellIs" dxfId="347" priority="27" stopIfTrue="1" operator="greaterThan">
      <formula>$F$37</formula>
    </cfRule>
    <cfRule type="cellIs" dxfId="346" priority="30" stopIfTrue="1" operator="lessThanOrEqual">
      <formula>0</formula>
    </cfRule>
  </conditionalFormatting>
  <conditionalFormatting sqref="H57:I57">
    <cfRule type="cellIs" dxfId="345" priority="84" stopIfTrue="1" operator="greaterThan">
      <formula>$F$63</formula>
    </cfRule>
    <cfRule type="cellIs" dxfId="344" priority="87" stopIfTrue="1" operator="lessThanOrEqual">
      <formula>0</formula>
    </cfRule>
  </conditionalFormatting>
  <conditionalFormatting sqref="H58:I58">
    <cfRule type="cellIs" dxfId="343" priority="2" stopIfTrue="1" operator="greaterThan">
      <formula>$F$37</formula>
    </cfRule>
    <cfRule type="cellIs" dxfId="342" priority="5" stopIfTrue="1" operator="lessThanOrEqual">
      <formula>0</formula>
    </cfRule>
  </conditionalFormatting>
  <conditionalFormatting sqref="H71:I71">
    <cfRule type="cellIs" dxfId="341" priority="68" stopIfTrue="1" operator="greaterThan">
      <formula>$J71</formula>
    </cfRule>
    <cfRule type="cellIs" dxfId="340" priority="69" stopIfTrue="1" operator="lessThanOrEqual">
      <formula>0</formula>
    </cfRule>
  </conditionalFormatting>
  <conditionalFormatting sqref="I22">
    <cfRule type="cellIs" dxfId="339" priority="78" operator="lessThan">
      <formula>98</formula>
    </cfRule>
    <cfRule type="cellIs" dxfId="338" priority="75" operator="lessThan">
      <formula>97.8</formula>
    </cfRule>
  </conditionalFormatting>
  <conditionalFormatting sqref="I54:I56">
    <cfRule type="cellIs" dxfId="337" priority="35" stopIfTrue="1" operator="greaterThan">
      <formula>$F$35</formula>
    </cfRule>
    <cfRule type="cellIs" dxfId="336" priority="34" stopIfTrue="1" operator="lessThanOrEqual">
      <formula>0</formula>
    </cfRule>
    <cfRule type="cellIs" dxfId="335" priority="33" stopIfTrue="1" operator="greaterThan">
      <formula>$F$37</formula>
    </cfRule>
    <cfRule type="cellIs" dxfId="334" priority="32" stopIfTrue="1" operator="lessThanOrEqual">
      <formula>0</formula>
    </cfRule>
    <cfRule type="cellIs" dxfId="333" priority="36" stopIfTrue="1" operator="lessThanOrEqual">
      <formula>0</formula>
    </cfRule>
    <cfRule type="cellIs" dxfId="332" priority="31" stopIfTrue="1" operator="greaterThan">
      <formula>$F$35</formula>
    </cfRule>
  </conditionalFormatting>
  <conditionalFormatting sqref="I57">
    <cfRule type="cellIs" dxfId="331" priority="93" stopIfTrue="1" operator="lessThanOrEqual">
      <formula>0</formula>
    </cfRule>
    <cfRule type="cellIs" dxfId="330" priority="92" stopIfTrue="1" operator="greaterThan">
      <formula>$F$61</formula>
    </cfRule>
    <cfRule type="cellIs" dxfId="329" priority="91" stopIfTrue="1" operator="lessThanOrEqual">
      <formula>0</formula>
    </cfRule>
    <cfRule type="cellIs" dxfId="328" priority="89" stopIfTrue="1" operator="lessThanOrEqual">
      <formula>0</formula>
    </cfRule>
    <cfRule type="cellIs" dxfId="327" priority="88" stopIfTrue="1" operator="greaterThan">
      <formula>$F$61</formula>
    </cfRule>
    <cfRule type="cellIs" dxfId="326" priority="90" stopIfTrue="1" operator="greaterThan">
      <formula>$F$63</formula>
    </cfRule>
  </conditionalFormatting>
  <conditionalFormatting sqref="I58">
    <cfRule type="cellIs" dxfId="325" priority="11" stopIfTrue="1" operator="lessThanOrEqual">
      <formula>0</formula>
    </cfRule>
    <cfRule type="cellIs" dxfId="324" priority="6" stopIfTrue="1" operator="greaterThan">
      <formula>$F$35</formula>
    </cfRule>
    <cfRule type="cellIs" dxfId="323" priority="7" stopIfTrue="1" operator="lessThanOrEqual">
      <formula>0</formula>
    </cfRule>
    <cfRule type="cellIs" dxfId="322" priority="8" stopIfTrue="1" operator="greaterThan">
      <formula>$F$37</formula>
    </cfRule>
    <cfRule type="cellIs" dxfId="321" priority="9" stopIfTrue="1" operator="lessThanOrEqual">
      <formula>0</formula>
    </cfRule>
    <cfRule type="cellIs" dxfId="320" priority="10" stopIfTrue="1" operator="greaterThan">
      <formula>$F$35</formula>
    </cfRule>
  </conditionalFormatting>
  <conditionalFormatting sqref="I62:I70">
    <cfRule type="cellIs" dxfId="319" priority="104" stopIfTrue="1" operator="greaterThan">
      <formula>$J62</formula>
    </cfRule>
    <cfRule type="cellIs" dxfId="318" priority="105" stopIfTrue="1" operator="lessThanOrEqual">
      <formula>0</formula>
    </cfRule>
  </conditionalFormatting>
  <conditionalFormatting sqref="I73:I81">
    <cfRule type="cellIs" dxfId="317" priority="133" stopIfTrue="1" operator="greaterThan">
      <formula>4.5</formula>
    </cfRule>
    <cfRule type="cellIs" dxfId="316" priority="134" stopIfTrue="1" operator="lessThanOrEqual">
      <formula>0</formula>
    </cfRule>
  </conditionalFormatting>
  <conditionalFormatting sqref="I10:J21">
    <cfRule type="cellIs" dxfId="315" priority="25" operator="lessThan">
      <formula>97.9</formula>
    </cfRule>
  </conditionalFormatting>
  <conditionalFormatting sqref="J22">
    <cfRule type="cellIs" dxfId="314" priority="77" operator="lessThan">
      <formula>97.4</formula>
    </cfRule>
    <cfRule type="cellIs" dxfId="313" priority="76" operator="notBetween">
      <formula>98</formula>
      <formula>99.9</formula>
    </cfRule>
  </conditionalFormatting>
  <conditionalFormatting sqref="J25:J27">
    <cfRule type="cellIs" dxfId="312" priority="57" stopIfTrue="1" operator="lessThan">
      <formula>96.8</formula>
    </cfRule>
    <cfRule type="cellIs" dxfId="311" priority="59" operator="lessThan">
      <formula>98</formula>
    </cfRule>
    <cfRule type="cellIs" dxfId="310" priority="58" stopIfTrue="1" operator="greaterThan">
      <formula>100</formula>
    </cfRule>
  </conditionalFormatting>
  <conditionalFormatting sqref="J25:J29">
    <cfRule type="cellIs" dxfId="309" priority="56" operator="lessThan">
      <formula>97.4</formula>
    </cfRule>
  </conditionalFormatting>
  <conditionalFormatting sqref="J30">
    <cfRule type="cellIs" dxfId="308" priority="60" operator="lessThan">
      <formula>98</formula>
    </cfRule>
  </conditionalFormatting>
  <conditionalFormatting sqref="J31:J33">
    <cfRule type="cellIs" dxfId="307" priority="61" stopIfTrue="1" operator="lessThan">
      <formula>96.8</formula>
    </cfRule>
    <cfRule type="cellIs" dxfId="306" priority="62" stopIfTrue="1" operator="greaterThan">
      <formula>100</formula>
    </cfRule>
  </conditionalFormatting>
  <conditionalFormatting sqref="J31:J34">
    <cfRule type="cellIs" dxfId="305" priority="63" operator="lessThan">
      <formula>98</formula>
    </cfRule>
  </conditionalFormatting>
  <conditionalFormatting sqref="J71">
    <cfRule type="cellIs" dxfId="304" priority="66" stopIfTrue="1" operator="lessThanOrEqual">
      <formula>0</formula>
    </cfRule>
    <cfRule type="cellIs" dxfId="303" priority="65" stopIfTrue="1" operator="greaterThan">
      <formula>$F71</formula>
    </cfRule>
  </conditionalFormatting>
  <conditionalFormatting sqref="K10:K22">
    <cfRule type="cellIs" dxfId="302" priority="23" operator="greaterThan">
      <formula>6.4</formula>
    </cfRule>
    <cfRule type="cellIs" dxfId="301" priority="19" operator="lessThan">
      <formula>4</formula>
    </cfRule>
    <cfRule type="cellIs" dxfId="300" priority="18" operator="greaterThan">
      <formula>6</formula>
    </cfRule>
  </conditionalFormatting>
  <conditionalFormatting sqref="K39:K48">
    <cfRule type="cellIs" dxfId="299" priority="55" operator="notEqual">
      <formula>#REF!</formula>
    </cfRule>
  </conditionalFormatting>
  <conditionalFormatting sqref="K54:K58 K62:N65 L66:N66 K67:N70">
    <cfRule type="cellIs" dxfId="298" priority="117" stopIfTrue="1" operator="lessThan">
      <formula>100%</formula>
    </cfRule>
  </conditionalFormatting>
  <conditionalFormatting sqref="K73:K78">
    <cfRule type="cellIs" dxfId="297" priority="139" stopIfTrue="1" operator="lessThan">
      <formula>100%</formula>
    </cfRule>
  </conditionalFormatting>
  <conditionalFormatting sqref="K80:K81">
    <cfRule type="cellIs" dxfId="296" priority="146" stopIfTrue="1" operator="lessThan">
      <formula>100%</formula>
    </cfRule>
  </conditionalFormatting>
  <conditionalFormatting sqref="L10:L22">
    <cfRule type="cellIs" dxfId="295" priority="21" operator="greaterThan">
      <formula>65</formula>
    </cfRule>
    <cfRule type="cellIs" dxfId="294" priority="20" operator="between">
      <formula>61</formula>
      <formula>65</formula>
    </cfRule>
  </conditionalFormatting>
  <conditionalFormatting sqref="L25:M36">
    <cfRule type="cellIs" dxfId="293" priority="72" operator="lessThan">
      <formula>98</formula>
    </cfRule>
  </conditionalFormatting>
  <conditionalFormatting sqref="L40:N40">
    <cfRule type="cellIs" dxfId="292" priority="81" operator="notEqual">
      <formula>#REF!</formula>
    </cfRule>
  </conditionalFormatting>
  <conditionalFormatting sqref="L71:N71">
    <cfRule type="cellIs" dxfId="291" priority="67" stopIfTrue="1" operator="lessThan">
      <formula>100%</formula>
    </cfRule>
  </conditionalFormatting>
  <conditionalFormatting sqref="L73:N81">
    <cfRule type="cellIs" dxfId="290" priority="124" stopIfTrue="1" operator="lessThan">
      <formula>100%</formula>
    </cfRule>
  </conditionalFormatting>
  <conditionalFormatting sqref="M10:M11">
    <cfRule type="expression" dxfId="289" priority="1">
      <formula>IF(+(IF(M10&lt;U10,0,IF(M10&gt;V10,0,1)))=0,1)</formula>
    </cfRule>
  </conditionalFormatting>
  <conditionalFormatting sqref="M12:M22">
    <cfRule type="expression" dxfId="288" priority="64">
      <formula>IF(+(IF(M12&lt;V12,0,IF(M12&gt;W12,0,1)))=0,1)</formula>
    </cfRule>
  </conditionalFormatting>
  <conditionalFormatting sqref="M6:N6">
    <cfRule type="cellIs" dxfId="287" priority="83" operator="greaterThanOrEqual">
      <formula>19</formula>
    </cfRule>
    <cfRule type="cellIs" dxfId="286" priority="82" operator="greaterThanOrEqual">
      <formula>15</formula>
    </cfRule>
  </conditionalFormatting>
  <conditionalFormatting sqref="N10:N22">
    <cfRule type="expression" dxfId="285" priority="17">
      <formula>IF(+(IF(N10&lt;X10,0,IF(N10&gt;Y10,0,1)))=0,1)</formula>
    </cfRule>
  </conditionalFormatting>
  <conditionalFormatting sqref="N22">
    <cfRule type="expression" dxfId="284" priority="154">
      <formula>IF(+(IF(N22&lt;X64,0,IF(N22&gt;Y64,0,1)))=0,1)</formula>
    </cfRule>
    <cfRule type="expression" dxfId="283" priority="155">
      <formula>IF(+(IF(N22&lt;X59,0,IF(N22&gt;Y59,0,1)))=0,1)</formula>
    </cfRule>
  </conditionalFormatting>
  <conditionalFormatting sqref="P6">
    <cfRule type="cellIs" dxfId="282" priority="120" operator="greaterThanOrEqual">
      <formula>19</formula>
    </cfRule>
  </conditionalFormatting>
  <dataValidations disablePrompts="1" count="1">
    <dataValidation type="list" allowBlank="1" showInputMessage="1" showErrorMessage="1" sqref="S8 B22" xr:uid="{B2D93569-5D9C-4D28-8209-0837FAD1E79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2C8EE-33E8-4CAC-B06B-973AFEAA7081}">
  <sheetPr>
    <pageSetUpPr fitToPage="1"/>
  </sheetPr>
  <dimension ref="A1:BF83"/>
  <sheetViews>
    <sheetView topLeftCell="A51" zoomScale="80" zoomScaleNormal="80" workbookViewId="0">
      <selection activeCell="I17" sqref="I17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50">
        <v>45747</v>
      </c>
      <c r="J4" s="401" t="s">
        <v>205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/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204</v>
      </c>
      <c r="K6" s="404"/>
      <c r="L6" s="311" t="s">
        <v>14</v>
      </c>
      <c r="M6" s="340">
        <v>4</v>
      </c>
      <c r="N6" s="340">
        <v>2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29" t="s">
        <v>6</v>
      </c>
      <c r="C10" s="366" t="str">
        <f>[23]Brewhouse!$A337</f>
        <v>CA234</v>
      </c>
      <c r="D10" s="279">
        <f>[23]Brewhouse!$AF337</f>
        <v>53.9</v>
      </c>
      <c r="E10" s="279">
        <f>[23]Brewhouse!$AI337</f>
        <v>51.1</v>
      </c>
      <c r="F10" s="278">
        <f>[23]Brewhouse!$V337</f>
        <v>59</v>
      </c>
      <c r="G10" s="279">
        <f>[23]Brewhouse!$AG337</f>
        <v>11.9</v>
      </c>
      <c r="H10" s="396">
        <v>11.9</v>
      </c>
      <c r="I10" s="368">
        <f>[23]Brewhouse!$AU337</f>
        <v>100.31331285198578</v>
      </c>
      <c r="J10" s="368">
        <f>[23]Brewhouse!$AV337</f>
        <v>101.69624271982174</v>
      </c>
      <c r="K10" s="281">
        <f>[23]Brewhouse!$Q337</f>
        <v>6.2081128747795464</v>
      </c>
      <c r="L10" s="276">
        <f>[23]Brewhouse!$P337</f>
        <v>56</v>
      </c>
      <c r="M10" s="397">
        <f>[23]Brewhouse!$U337-[23]Brewhouse!$T337</f>
        <v>0.12013888888888891</v>
      </c>
      <c r="N10" s="370">
        <f>[23]Brewhouse!$Z337</f>
        <v>0.26666666666666666</v>
      </c>
      <c r="O10" s="371" t="str">
        <f>[23]Brewhouse!$AX337</f>
        <v>R.Sookram</v>
      </c>
      <c r="P10" s="441" t="s">
        <v>211</v>
      </c>
      <c r="Q10" s="347"/>
      <c r="S10" s="277" t="str">
        <f t="shared" ref="S10:S24" si="0">B10</f>
        <v>CARIB</v>
      </c>
      <c r="T10" s="296">
        <f t="shared" ref="T10:T24" si="1">VLOOKUP($B10,$S$3:$Y$9,2,FALSE)</f>
        <v>11.6</v>
      </c>
      <c r="U10" s="296">
        <f t="shared" ref="U10:U24" si="2">VLOOKUP($B10,$S$3:$Y$9,3,FALSE)</f>
        <v>12</v>
      </c>
      <c r="V10" s="297">
        <f t="shared" ref="V10:V24" si="3">VLOOKUP($B10,$S$3:$Y$9,4,FALSE)</f>
        <v>0</v>
      </c>
      <c r="W10" s="297">
        <f t="shared" ref="W10:W24" si="4">VLOOKUP($B10,$S$3:$Y$9,5,FALSE)</f>
        <v>0.118055555555556</v>
      </c>
      <c r="X10" s="297">
        <f t="shared" ref="X10:X24" si="5">VLOOKUP($B10,$S$3:$Y$9,6,FALSE)</f>
        <v>0.22569444444444445</v>
      </c>
      <c r="Y10" s="297">
        <f t="shared" ref="Y10:Y24" si="6">VLOOKUP($B10,$S$3:$Y$9,7,FALSE)</f>
        <v>0.2638888888888889</v>
      </c>
      <c r="Z10" s="297">
        <f t="shared" ref="Z10:Z24" si="7">VLOOKUP($B10,$S$3:$AA$9,8,FALSE)</f>
        <v>0</v>
      </c>
      <c r="AA10" s="296">
        <f t="shared" ref="AA10:AA24" si="8">VLOOKUP($B10,$S$3:$AA$9,9,FALSE)</f>
        <v>60</v>
      </c>
    </row>
    <row r="11" spans="2:30" ht="15.75" customHeight="1">
      <c r="B11" s="29" t="s">
        <v>6</v>
      </c>
      <c r="C11" s="366" t="str">
        <f>[23]Brewhouse!$A338</f>
        <v>CA235</v>
      </c>
      <c r="D11" s="279">
        <f>[23]Brewhouse!$AF338</f>
        <v>54.7</v>
      </c>
      <c r="E11" s="279">
        <f>[23]Brewhouse!$AI338</f>
        <v>51.2</v>
      </c>
      <c r="F11" s="278">
        <f>[23]Brewhouse!$V338</f>
        <v>75</v>
      </c>
      <c r="G11" s="279">
        <f>[23]Brewhouse!$AG338</f>
        <v>11.8</v>
      </c>
      <c r="H11" s="396">
        <v>11.8</v>
      </c>
      <c r="I11" s="368">
        <f>[23]Brewhouse!$AU338</f>
        <v>99.745226951365936</v>
      </c>
      <c r="J11" s="368">
        <f>[23]Brewhouse!$AV338</f>
        <v>101.12024965393238</v>
      </c>
      <c r="K11" s="281">
        <f>[23]Brewhouse!$Q338</f>
        <v>5.4640980735551619</v>
      </c>
      <c r="L11" s="276">
        <f>[23]Brewhouse!$P338</f>
        <v>61</v>
      </c>
      <c r="M11" s="397">
        <f>[23]Brewhouse!$U338-[23]Brewhouse!$T338</f>
        <v>0.14374999999999999</v>
      </c>
      <c r="N11" s="370">
        <f>[23]Brewhouse!$Z338</f>
        <v>0.28541666666666665</v>
      </c>
      <c r="O11" s="371" t="str">
        <f>[23]Brewhouse!$AX338</f>
        <v>R.Sookram</v>
      </c>
      <c r="P11" s="441"/>
      <c r="Q11" s="347"/>
      <c r="S11" s="277" t="str">
        <f t="shared" si="0"/>
        <v>CARIB</v>
      </c>
      <c r="T11" s="296">
        <f t="shared" si="1"/>
        <v>11.6</v>
      </c>
      <c r="U11" s="296">
        <f t="shared" si="2"/>
        <v>12</v>
      </c>
      <c r="V11" s="297">
        <f t="shared" si="3"/>
        <v>0</v>
      </c>
      <c r="W11" s="297">
        <f t="shared" si="4"/>
        <v>0.118055555555556</v>
      </c>
      <c r="X11" s="297">
        <f t="shared" si="5"/>
        <v>0.22569444444444445</v>
      </c>
      <c r="Y11" s="297">
        <f t="shared" si="6"/>
        <v>0.2638888888888889</v>
      </c>
      <c r="Z11" s="297">
        <f t="shared" si="7"/>
        <v>0</v>
      </c>
      <c r="AA11" s="296">
        <f t="shared" si="8"/>
        <v>60</v>
      </c>
    </row>
    <row r="12" spans="2:30" ht="15.75" customHeight="1">
      <c r="B12" s="29" t="s">
        <v>6</v>
      </c>
      <c r="C12" s="366" t="str">
        <f>[23]Brewhouse!$A339</f>
        <v>CA236</v>
      </c>
      <c r="D12" s="279">
        <f>[23]Brewhouse!$AF339</f>
        <v>54.1</v>
      </c>
      <c r="E12" s="279">
        <f>[23]Brewhouse!$AI339</f>
        <v>51.6</v>
      </c>
      <c r="F12" s="278">
        <f>[23]Brewhouse!$V339</f>
        <v>56</v>
      </c>
      <c r="G12" s="279">
        <f>[23]Brewhouse!$AG339</f>
        <v>11.61</v>
      </c>
      <c r="H12" s="396">
        <v>11.6</v>
      </c>
      <c r="I12" s="368">
        <f>[23]Brewhouse!$AU339</f>
        <v>98.609928325637725</v>
      </c>
      <c r="J12" s="368">
        <f>[23]Brewhouse!$AV339</f>
        <v>99.969375155470814</v>
      </c>
      <c r="K12" s="281">
        <f>[23]Brewhouse!$Q339</f>
        <v>3.7588652482269462</v>
      </c>
      <c r="L12" s="276">
        <f>[23]Brewhouse!$P339</f>
        <v>60</v>
      </c>
      <c r="M12" s="397">
        <f>[23]Brewhouse!$U339-[23]Brewhouse!$T339</f>
        <v>0.11597222222222225</v>
      </c>
      <c r="N12" s="370">
        <f>[23]Brewhouse!$Z339</f>
        <v>0.25694444444444442</v>
      </c>
      <c r="O12" s="371" t="str">
        <f>[23]Brewhouse!$AX339</f>
        <v>K.Benjamin</v>
      </c>
      <c r="P12" s="441"/>
      <c r="Q12" s="347"/>
      <c r="S12" s="277" t="str">
        <f t="shared" si="0"/>
        <v>CARIB</v>
      </c>
      <c r="T12" s="296">
        <f t="shared" si="1"/>
        <v>11.6</v>
      </c>
      <c r="U12" s="296">
        <f t="shared" si="2"/>
        <v>12</v>
      </c>
      <c r="V12" s="297">
        <f t="shared" si="3"/>
        <v>0</v>
      </c>
      <c r="W12" s="297">
        <f t="shared" si="4"/>
        <v>0.118055555555556</v>
      </c>
      <c r="X12" s="297">
        <f t="shared" si="5"/>
        <v>0.22569444444444445</v>
      </c>
      <c r="Y12" s="297">
        <f t="shared" si="6"/>
        <v>0.2638888888888889</v>
      </c>
      <c r="Z12" s="297">
        <f t="shared" si="7"/>
        <v>0</v>
      </c>
      <c r="AA12" s="296">
        <f t="shared" si="8"/>
        <v>60</v>
      </c>
    </row>
    <row r="13" spans="2:30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41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customHeight="1">
      <c r="B14" s="33" t="s">
        <v>9</v>
      </c>
      <c r="C14" s="366" t="str">
        <f>[24]Brewhouse!$A137</f>
        <v>ST121</v>
      </c>
      <c r="D14" s="279">
        <f>[24]Brewhouse!$AD137</f>
        <v>52.2</v>
      </c>
      <c r="E14" s="279">
        <f>[24]Brewhouse!$AG137</f>
        <v>48</v>
      </c>
      <c r="F14" s="278">
        <f>[24]Brewhouse!$V137</f>
        <v>53</v>
      </c>
      <c r="G14" s="279">
        <f>[24]Brewhouse!$AE137</f>
        <v>11.8</v>
      </c>
      <c r="H14" s="396">
        <v>11.8</v>
      </c>
      <c r="I14" s="416">
        <f>[24]Brewhouse!$AS137</f>
        <v>94.448940517191943</v>
      </c>
      <c r="J14" s="416">
        <f>[24]Brewhouse!$AT137</f>
        <v>95.526399618513679</v>
      </c>
      <c r="K14" s="398">
        <f>[24]Brewhouse!$Q137</f>
        <v>7.7338129496402823</v>
      </c>
      <c r="L14" s="276">
        <f>[24]Brewhouse!$P137</f>
        <v>61</v>
      </c>
      <c r="M14" s="374">
        <f>[24]Brewhouse!$U137-[24]Brewhouse!$T137</f>
        <v>0.12986111111111109</v>
      </c>
      <c r="N14" s="370">
        <f>[24]Brewhouse!$AW137</f>
        <v>0.27222222222222214</v>
      </c>
      <c r="O14" s="417" t="str">
        <f>[24]Brewhouse!$AV137</f>
        <v>R. Regis</v>
      </c>
      <c r="P14" s="441"/>
      <c r="Q14" s="347"/>
      <c r="S14" s="277" t="str">
        <f t="shared" si="0"/>
        <v>STAG</v>
      </c>
      <c r="T14" s="296">
        <f t="shared" si="1"/>
        <v>11.6</v>
      </c>
      <c r="U14" s="296">
        <f t="shared" si="2"/>
        <v>12</v>
      </c>
      <c r="V14" s="297">
        <f t="shared" si="3"/>
        <v>0</v>
      </c>
      <c r="W14" s="297">
        <f t="shared" si="4"/>
        <v>0.118055555555556</v>
      </c>
      <c r="X14" s="297">
        <f t="shared" si="5"/>
        <v>0.22569444444444445</v>
      </c>
      <c r="Y14" s="297">
        <f t="shared" si="6"/>
        <v>0.2638888888888889</v>
      </c>
      <c r="Z14" s="297">
        <f t="shared" si="7"/>
        <v>0</v>
      </c>
      <c r="AA14" s="296">
        <f t="shared" si="8"/>
        <v>60</v>
      </c>
    </row>
    <row r="15" spans="2:30" ht="15.75" customHeight="1">
      <c r="B15" s="33" t="s">
        <v>9</v>
      </c>
      <c r="C15" s="366" t="str">
        <f>[24]Brewhouse!$A138</f>
        <v>ST122</v>
      </c>
      <c r="D15" s="279">
        <f>[24]Brewhouse!$AD138</f>
        <v>52.9</v>
      </c>
      <c r="E15" s="279">
        <f>[24]Brewhouse!$AG138</f>
        <v>49.7</v>
      </c>
      <c r="F15" s="278">
        <f>[24]Brewhouse!$V138</f>
        <v>57</v>
      </c>
      <c r="G15" s="279">
        <f>[24]Brewhouse!$AE138</f>
        <v>11.7</v>
      </c>
      <c r="H15" s="396">
        <v>11.7</v>
      </c>
      <c r="I15" s="416">
        <f>[24]Brewhouse!$AS138</f>
        <v>96.922261553729911</v>
      </c>
      <c r="J15" s="416">
        <f>[24]Brewhouse!$AT138</f>
        <v>98.027935924028895</v>
      </c>
      <c r="K15" s="398">
        <f>[24]Brewhouse!$Q138</f>
        <v>5.3211009174311901</v>
      </c>
      <c r="L15" s="276">
        <f>[24]Brewhouse!$P138</f>
        <v>60</v>
      </c>
      <c r="M15" s="374">
        <f>[24]Brewhouse!$U138-[24]Brewhouse!$T138</f>
        <v>0.1069444444444444</v>
      </c>
      <c r="N15" s="370">
        <f>[24]Brewhouse!$AW138</f>
        <v>0.2402777777777777</v>
      </c>
      <c r="O15" s="417" t="str">
        <f>[24]Brewhouse!$AV138</f>
        <v>R.Sookram</v>
      </c>
      <c r="P15" s="441"/>
      <c r="Q15" s="347"/>
      <c r="S15" s="277" t="str">
        <f t="shared" si="0"/>
        <v>STAG</v>
      </c>
      <c r="T15" s="296">
        <f t="shared" si="1"/>
        <v>11.6</v>
      </c>
      <c r="U15" s="296">
        <f t="shared" si="2"/>
        <v>12</v>
      </c>
      <c r="V15" s="297">
        <f t="shared" si="3"/>
        <v>0</v>
      </c>
      <c r="W15" s="297">
        <f t="shared" si="4"/>
        <v>0.118055555555556</v>
      </c>
      <c r="X15" s="297">
        <f t="shared" si="5"/>
        <v>0.22569444444444445</v>
      </c>
      <c r="Y15" s="297">
        <f t="shared" si="6"/>
        <v>0.2638888888888889</v>
      </c>
      <c r="Z15" s="297">
        <f t="shared" si="7"/>
        <v>0</v>
      </c>
      <c r="AA15" s="296">
        <f t="shared" si="8"/>
        <v>60</v>
      </c>
    </row>
    <row r="16" spans="2:30" ht="15.75" customHeight="1">
      <c r="B16" s="33" t="s">
        <v>9</v>
      </c>
      <c r="C16" s="366" t="str">
        <f>[24]Brewhouse!$A139</f>
        <v>ST123</v>
      </c>
      <c r="D16" s="279">
        <f>[24]Brewhouse!$AD139</f>
        <v>52.8</v>
      </c>
      <c r="E16" s="279">
        <f>[24]Brewhouse!$AG139</f>
        <v>49.4</v>
      </c>
      <c r="F16" s="278">
        <f>[24]Brewhouse!$V139</f>
        <v>56</v>
      </c>
      <c r="G16" s="279">
        <f>[24]Brewhouse!$AE139</f>
        <v>11.8</v>
      </c>
      <c r="H16" s="396">
        <v>11.8</v>
      </c>
      <c r="I16" s="416">
        <f>[24]Brewhouse!$AS139</f>
        <v>97.203701282276711</v>
      </c>
      <c r="J16" s="416">
        <f>[24]Brewhouse!$AT139</f>
        <v>98.312586274053672</v>
      </c>
      <c r="K16" s="398">
        <f>[24]Brewhouse!$Q139</f>
        <v>3.0131826741996259</v>
      </c>
      <c r="L16" s="276">
        <f>[24]Brewhouse!$P139</f>
        <v>56</v>
      </c>
      <c r="M16" s="374">
        <f>[24]Brewhouse!$U139-[24]Brewhouse!$T139</f>
        <v>0.11111111111111105</v>
      </c>
      <c r="N16" s="370">
        <f>[24]Brewhouse!$AW139</f>
        <v>0.26736111111111105</v>
      </c>
      <c r="O16" s="417" t="str">
        <f>[24]Brewhouse!$AV139</f>
        <v>R.Sookram</v>
      </c>
      <c r="P16" s="441"/>
      <c r="Q16" s="347"/>
      <c r="S16" s="277" t="str">
        <f t="shared" ref="S16:S18" si="9">B16</f>
        <v>STAG</v>
      </c>
      <c r="T16" s="296">
        <f t="shared" si="1"/>
        <v>11.6</v>
      </c>
      <c r="U16" s="296">
        <f t="shared" si="2"/>
        <v>12</v>
      </c>
      <c r="V16" s="297">
        <f t="shared" si="3"/>
        <v>0</v>
      </c>
      <c r="W16" s="297">
        <f t="shared" si="4"/>
        <v>0.118055555555556</v>
      </c>
      <c r="X16" s="297">
        <f t="shared" si="5"/>
        <v>0.22569444444444445</v>
      </c>
      <c r="Y16" s="297">
        <f t="shared" si="6"/>
        <v>0.2638888888888889</v>
      </c>
      <c r="Z16" s="297">
        <f t="shared" si="7"/>
        <v>0</v>
      </c>
      <c r="AA16" s="296">
        <f t="shared" si="8"/>
        <v>60</v>
      </c>
    </row>
    <row r="17" spans="1:27" ht="15.75" customHeight="1">
      <c r="B17" s="33" t="s">
        <v>9</v>
      </c>
      <c r="C17" s="366" t="str">
        <f>[24]Brewhouse!$A140</f>
        <v>ST124</v>
      </c>
      <c r="D17" s="279">
        <f>[24]Brewhouse!$AD140</f>
        <v>52.8</v>
      </c>
      <c r="E17" s="279">
        <f>[24]Brewhouse!$AG140</f>
        <v>49.5</v>
      </c>
      <c r="F17" s="278">
        <f>[24]Brewhouse!$V140</f>
        <v>61</v>
      </c>
      <c r="G17" s="279">
        <f>[24]Brewhouse!$AE140</f>
        <v>11.8</v>
      </c>
      <c r="H17" s="396">
        <v>11.8</v>
      </c>
      <c r="I17" s="416">
        <f>[24]Brewhouse!$AS140</f>
        <v>97.400469908354196</v>
      </c>
      <c r="J17" s="416">
        <f>[24]Brewhouse!$AT140</f>
        <v>98.511599606592242</v>
      </c>
      <c r="K17" s="398">
        <f>[24]Brewhouse!$Q140</f>
        <v>5.2919708029197059</v>
      </c>
      <c r="L17" s="276">
        <f>[24]Brewhouse!$P140</f>
        <v>57</v>
      </c>
      <c r="M17" s="374">
        <f>[24]Brewhouse!$U140-[24]Brewhouse!$T140</f>
        <v>9.5138888888888884E-2</v>
      </c>
      <c r="N17" s="370">
        <f>[24]Brewhouse!$AW140</f>
        <v>0.25138888888888877</v>
      </c>
      <c r="O17" s="417" t="str">
        <f>[24]Brewhouse!$AV140</f>
        <v>R.Sookram</v>
      </c>
      <c r="P17" s="441"/>
      <c r="Q17" s="347"/>
      <c r="S17" s="277" t="str">
        <f t="shared" si="9"/>
        <v>STAG</v>
      </c>
      <c r="T17" s="296">
        <f t="shared" si="1"/>
        <v>11.6</v>
      </c>
      <c r="U17" s="296">
        <f t="shared" si="2"/>
        <v>12</v>
      </c>
      <c r="V17" s="297">
        <f t="shared" si="3"/>
        <v>0</v>
      </c>
      <c r="W17" s="297">
        <f t="shared" si="4"/>
        <v>0.118055555555556</v>
      </c>
      <c r="X17" s="297">
        <f t="shared" si="5"/>
        <v>0.22569444444444445</v>
      </c>
      <c r="Y17" s="297">
        <f t="shared" si="6"/>
        <v>0.2638888888888889</v>
      </c>
      <c r="Z17" s="297">
        <f t="shared" si="7"/>
        <v>0</v>
      </c>
      <c r="AA17" s="296">
        <f t="shared" si="8"/>
        <v>60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9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1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35" t="str">
        <f>I26</f>
        <v>STAG</v>
      </c>
      <c r="C25" s="362">
        <f>[24]Process!D113</f>
        <v>12</v>
      </c>
      <c r="D25" s="485">
        <v>11.78</v>
      </c>
      <c r="E25" s="486"/>
      <c r="F25" s="294"/>
      <c r="G25" s="294"/>
      <c r="H25" s="348"/>
      <c r="I25" s="29" t="s">
        <v>6</v>
      </c>
      <c r="J25" s="280">
        <f>AVERAGE(I10:I12)</f>
        <v>99.556156042996477</v>
      </c>
      <c r="K25" s="284">
        <f>COUNTA([23]Brewhouse!$A$255:$A$339)</f>
        <v>85</v>
      </c>
      <c r="L25" s="302">
        <f>AVERAGE([23]Brewhouse!$AU$255:$AU339)</f>
        <v>98.885783752206578</v>
      </c>
      <c r="M25" s="302">
        <f>AVERAGE([23]Brewhouse!$AU$102:$AU$171,[23]Brewhouse!$AU$173:$AU$253,[23]Brewhouse!$AU$255:$AU$339)</f>
        <v>96.787954543072118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33"/>
      <c r="C26" s="349">
        <f>[24]Process!D114</f>
        <v>11.86</v>
      </c>
      <c r="D26" s="487"/>
      <c r="E26" s="488"/>
      <c r="F26" s="294"/>
      <c r="G26" s="294"/>
      <c r="H26" s="348"/>
      <c r="I26" s="33" t="s">
        <v>9</v>
      </c>
      <c r="J26" s="280">
        <f>AVERAGE(I14:I17)</f>
        <v>96.49384331538819</v>
      </c>
      <c r="K26" s="284">
        <f>COUNTA([24]Brewhouse!$A$105:$A$140)</f>
        <v>36</v>
      </c>
      <c r="L26" s="302">
        <f>AVERAGE([24]Brewhouse!$AS$105:$AS$140)</f>
        <v>98.704290473770044</v>
      </c>
      <c r="M26" s="302">
        <f>AVERAGE([24]Brewhouse!$AS$15:$AS$64,[24]Brewhouse!$AS$66:$AS$103,[24]Brewhouse!$AS$105:$AS$140)</f>
        <v>96.705559909313564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33"/>
      <c r="C27" s="349">
        <f>[24]Process!D115</f>
        <v>11.75</v>
      </c>
      <c r="D27" s="485">
        <v>11.74</v>
      </c>
      <c r="E27" s="486"/>
      <c r="F27" s="294"/>
      <c r="G27" s="294"/>
      <c r="H27" s="348"/>
      <c r="I27" s="34" t="s">
        <v>12</v>
      </c>
      <c r="J27" s="280"/>
      <c r="K27" s="284">
        <f>COUNTA([25]Brewhouse!$A$24:$A$31)</f>
        <v>8</v>
      </c>
      <c r="L27" s="302">
        <f>AVERAGE([25]Brewhouse!$AU$24:$AU$31)</f>
        <v>98.193576760694924</v>
      </c>
      <c r="M27" s="302">
        <f>AVERAGE([25]Brewhouse!$AU$4:$AU$7,[25]Brewhouse!$AU$9:$AU$22,[25]Brewhouse!$AU$24:$AU$31)</f>
        <v>96.826546264179598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33"/>
      <c r="C28" s="349">
        <f>[24]Process!D116</f>
        <v>11.71</v>
      </c>
      <c r="D28" s="487"/>
      <c r="E28" s="488"/>
      <c r="F28" s="294"/>
      <c r="G28" s="294"/>
      <c r="H28" s="348"/>
      <c r="I28" s="22" t="s">
        <v>33</v>
      </c>
      <c r="J28" s="280"/>
      <c r="K28" s="284">
        <f>COUNTA([26]Brewhouse!$A$21:$A$24)</f>
        <v>4</v>
      </c>
      <c r="L28" s="302">
        <f>AVERAGE([26]Brewhouse!$AV$21:$AV$24)</f>
        <v>99.963723576245656</v>
      </c>
      <c r="M28" s="302">
        <f>AVERAGE([26]Brewhouse!$AV$5:$AV$14,[26]Brewhouse!$AV$16:$AV$19,[26]Brewhouse!$AV$21:$AV$24)</f>
        <v>98.616016873478046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33"/>
      <c r="C29" s="349"/>
      <c r="D29" s="485"/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33"/>
      <c r="C30" s="349"/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33"/>
      <c r="C31" s="349"/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33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3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3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33"/>
      <c r="C35" s="349"/>
      <c r="D35" s="485"/>
      <c r="E35" s="486"/>
      <c r="F35" s="294"/>
      <c r="G35" s="294"/>
      <c r="H35" s="348"/>
      <c r="I35" s="1"/>
      <c r="J35" s="39"/>
      <c r="K35" s="408">
        <f>SUM(K25:K34)</f>
        <v>141</v>
      </c>
      <c r="L35" s="409">
        <f>((L25*K25)+(L26*K26)+(L27*K27)+(L28*K28)+(L29*K29)+(K32*L32)+(L30*K30)+(L31*K31)+(L34*K34))/(K35)</f>
        <v>98.784228782177678</v>
      </c>
      <c r="M35" s="409">
        <f>AVERAGE('[29]Jan 31st'!$L$65,'[30]Feb 28th'!$L$35,L35)</f>
        <v>96.742401736525565</v>
      </c>
      <c r="N35" s="40">
        <v>98</v>
      </c>
      <c r="O35" s="11"/>
      <c r="P35" s="31"/>
      <c r="S35" s="23"/>
    </row>
    <row r="36" spans="1:57" ht="15" thickBot="1">
      <c r="B36" s="533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51"/>
      <c r="C37" s="362"/>
      <c r="D37" s="498"/>
      <c r="E37" s="499"/>
      <c r="F37" s="43"/>
      <c r="G37" s="41"/>
      <c r="H37" s="41"/>
      <c r="I37" s="42"/>
      <c r="J37" s="548" t="s">
        <v>129</v>
      </c>
      <c r="K37" s="54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496"/>
      <c r="C38" s="349"/>
      <c r="D38" s="500"/>
      <c r="E38" s="488"/>
      <c r="F38" s="43"/>
      <c r="G38" s="41"/>
      <c r="H38" s="41"/>
      <c r="I38" s="42"/>
      <c r="J38" s="292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496"/>
      <c r="C39" s="349"/>
      <c r="D39" s="504"/>
      <c r="E39" s="486"/>
      <c r="F39" s="43"/>
      <c r="G39" s="41"/>
      <c r="H39" s="41"/>
      <c r="I39" s="42"/>
      <c r="J39" s="287" t="s">
        <v>6</v>
      </c>
      <c r="K39" s="324">
        <f>COUNTA(B10:B12)</f>
        <v>3</v>
      </c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496"/>
      <c r="C40" s="349"/>
      <c r="D40" s="500"/>
      <c r="E40" s="488"/>
      <c r="F40" s="43"/>
      <c r="G40" s="41"/>
      <c r="H40" s="41"/>
      <c r="I40" s="42"/>
      <c r="J40" s="345" t="s">
        <v>9</v>
      </c>
      <c r="K40" s="324">
        <f>COUNTA(B14:B17)</f>
        <v>4</v>
      </c>
      <c r="L40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20th'!K49,'Mar. 21th'!K44,'Mar. 24th'!K49,'Mar. 25th'!K49,'Mar. 26th '!K49,'Mar. 27th '!K49,'Mar. 28th '!K49)</f>
        <v>6.3636363636363633</v>
      </c>
      <c r="M40" s="325">
        <f>AVERAGE('[29]Jan 29th '!$M$70,'[30]Feb 28th'!$L$40,L40)</f>
        <v>6.6248751248751248</v>
      </c>
      <c r="N40" s="400">
        <v>10</v>
      </c>
      <c r="O40" s="294"/>
      <c r="P40" s="12"/>
      <c r="S40" s="23"/>
    </row>
    <row r="41" spans="1:57" ht="15" customHeight="1">
      <c r="B41" s="496"/>
      <c r="C41" s="349"/>
      <c r="D41" s="504"/>
      <c r="E41" s="486"/>
      <c r="F41" s="43"/>
      <c r="G41" s="41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  <c r="S41" s="23"/>
    </row>
    <row r="42" spans="1:57" ht="15" customHeight="1" thickBot="1">
      <c r="B42" s="552"/>
      <c r="C42" s="349"/>
      <c r="D42" s="500"/>
      <c r="E42" s="488"/>
      <c r="F42" s="43"/>
      <c r="G42" s="41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549"/>
      <c r="C43" s="349"/>
      <c r="D43" s="504"/>
      <c r="E43" s="486"/>
      <c r="F43" s="43"/>
      <c r="G43" s="41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549"/>
      <c r="C44" s="349"/>
      <c r="D44" s="500"/>
      <c r="E44" s="488"/>
      <c r="F44" s="43"/>
      <c r="G44" s="41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549"/>
      <c r="C45" s="349"/>
      <c r="D45" s="505"/>
      <c r="E45" s="490"/>
      <c r="F45" s="43"/>
      <c r="G45" s="41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550"/>
      <c r="C46" s="350"/>
      <c r="D46" s="506"/>
      <c r="E46" s="507"/>
      <c r="F46" s="43"/>
      <c r="G46" s="41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11.76</v>
      </c>
      <c r="E47" s="509"/>
      <c r="F47" s="43"/>
      <c r="G47" s="41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346" t="s">
        <v>130</v>
      </c>
      <c r="K49" s="324">
        <f>SUM(K39:K48)</f>
        <v>7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>
      <c r="B54" s="451" t="str">
        <f>B63</f>
        <v>STAG</v>
      </c>
      <c r="C54" s="283">
        <v>45744</v>
      </c>
      <c r="D54" s="377">
        <f>[31]March_2025!$AF$13</f>
        <v>191.3</v>
      </c>
      <c r="E54" s="378"/>
      <c r="F54" s="379"/>
      <c r="G54" s="303">
        <f>[31]March_2025!$AF$17</f>
        <v>180</v>
      </c>
      <c r="H54" s="320"/>
      <c r="I54" s="322"/>
      <c r="J54" s="360" t="s">
        <v>209</v>
      </c>
      <c r="K54" s="433">
        <f>[33]March_2025!$AF$25</f>
        <v>0.31578947368421051</v>
      </c>
      <c r="L54" s="314">
        <f>(((D54+E54)-G54)/(D54+E54))*100</f>
        <v>5.9069524307370678</v>
      </c>
      <c r="M54" s="357" t="s">
        <v>166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4.4" thickBot="1">
      <c r="B55" s="430"/>
      <c r="C55" s="283"/>
      <c r="D55" s="377"/>
      <c r="E55" s="378"/>
      <c r="F55" s="379"/>
      <c r="G55" s="303"/>
      <c r="H55" s="320"/>
      <c r="I55" s="322"/>
      <c r="J55" s="398"/>
      <c r="K55" s="286"/>
      <c r="L55" s="314"/>
      <c r="M55" s="357"/>
      <c r="N55" s="13"/>
      <c r="O55" s="13"/>
      <c r="P55" s="50"/>
      <c r="T55" s="272"/>
      <c r="U55" s="448"/>
      <c r="V55" s="448"/>
      <c r="W55" s="448"/>
      <c r="X55" s="448"/>
      <c r="Y55" s="448"/>
      <c r="Z55" s="448"/>
      <c r="AA55" s="448"/>
      <c r="AB55" s="448"/>
      <c r="AC55" s="448"/>
      <c r="AD55" s="448"/>
      <c r="AE55" s="448"/>
      <c r="AF55" s="448"/>
      <c r="AG55" s="448"/>
      <c r="AH55" s="448"/>
      <c r="AI55" s="448"/>
      <c r="AJ55" s="448"/>
      <c r="AK55" s="448"/>
      <c r="AL55" s="448"/>
      <c r="AM55" s="448"/>
      <c r="AN55" s="448"/>
      <c r="AO55" s="448"/>
      <c r="AP55" s="448"/>
      <c r="AQ55" s="448"/>
      <c r="AR55" s="448"/>
      <c r="AS55" s="448"/>
      <c r="AT55" s="448"/>
      <c r="AU55" s="448"/>
      <c r="AV55" s="448"/>
      <c r="AW55" s="448"/>
      <c r="AX55" s="448"/>
    </row>
    <row r="56" spans="2:58" s="54" customFormat="1" ht="59.25" hidden="1" customHeight="1">
      <c r="B56" s="430"/>
      <c r="C56" s="283"/>
      <c r="D56" s="377"/>
      <c r="E56" s="378"/>
      <c r="F56" s="379"/>
      <c r="G56" s="303"/>
      <c r="H56" s="320"/>
      <c r="I56" s="322"/>
      <c r="J56" s="360"/>
      <c r="K56" s="286"/>
      <c r="L56" s="314"/>
      <c r="M56" s="357"/>
      <c r="N56" s="13"/>
      <c r="O56" s="13"/>
      <c r="P56" s="50"/>
      <c r="T56" s="272"/>
      <c r="U56" s="448"/>
      <c r="V56" s="448"/>
      <c r="W56" s="448"/>
      <c r="X56" s="448"/>
      <c r="Y56" s="448"/>
      <c r="Z56" s="448"/>
      <c r="AA56" s="448"/>
      <c r="AB56" s="448"/>
      <c r="AC56" s="448"/>
      <c r="AD56" s="448"/>
      <c r="AE56" s="448"/>
      <c r="AF56" s="448"/>
      <c r="AG56" s="448"/>
      <c r="AH56" s="448"/>
      <c r="AI56" s="448"/>
      <c r="AJ56" s="448"/>
      <c r="AK56" s="448"/>
      <c r="AL56" s="448"/>
      <c r="AM56" s="448"/>
      <c r="AN56" s="448"/>
      <c r="AO56" s="448"/>
      <c r="AP56" s="448"/>
      <c r="AQ56" s="448"/>
      <c r="AR56" s="448"/>
      <c r="AS56" s="448"/>
      <c r="AT56" s="448"/>
      <c r="AU56" s="448"/>
      <c r="AV56" s="448"/>
      <c r="AW56" s="448"/>
      <c r="AX56" s="448"/>
    </row>
    <row r="57" spans="2:58" s="54" customFormat="1" ht="14.4" hidden="1" thickBot="1">
      <c r="B57" s="387"/>
      <c r="C57" s="283"/>
      <c r="D57" s="279"/>
      <c r="E57" s="279"/>
      <c r="F57" s="279"/>
      <c r="G57" s="279"/>
      <c r="H57" s="320"/>
      <c r="I57" s="322"/>
      <c r="J57" s="281"/>
      <c r="K57" s="434"/>
      <c r="L57" s="314"/>
      <c r="M57" s="384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ht="58.5" hidden="1" customHeight="1" thickBot="1">
      <c r="B58" s="449"/>
      <c r="C58" s="283"/>
      <c r="D58" s="279"/>
      <c r="E58" s="279"/>
      <c r="F58" s="279"/>
      <c r="G58" s="279"/>
      <c r="H58" s="320"/>
      <c r="I58" s="322"/>
      <c r="J58" s="390"/>
      <c r="K58" s="52"/>
      <c r="L58" s="314"/>
      <c r="M58" s="357"/>
      <c r="N58" s="77"/>
      <c r="O58" s="13"/>
      <c r="P58" s="56"/>
    </row>
    <row r="59" spans="2:58" ht="18" customHeight="1" thickBot="1">
      <c r="B59" s="58"/>
      <c r="C59" s="309"/>
      <c r="D59" s="58"/>
      <c r="E59" s="58"/>
      <c r="F59" s="58"/>
      <c r="G59" s="58"/>
      <c r="H59" s="58"/>
      <c r="I59" s="58"/>
      <c r="J59" s="59"/>
      <c r="K59" s="58"/>
      <c r="L59" s="58"/>
      <c r="M59" s="58"/>
      <c r="N59" s="59"/>
      <c r="O59" s="56"/>
      <c r="P59" s="60"/>
    </row>
    <row r="60" spans="2:58" ht="14.4" thickBot="1">
      <c r="B60" s="517" t="s">
        <v>55</v>
      </c>
      <c r="C60" s="518"/>
      <c r="D60" s="518"/>
      <c r="E60" s="518"/>
      <c r="F60" s="519"/>
      <c r="G60" s="517" t="s">
        <v>56</v>
      </c>
      <c r="H60" s="518"/>
      <c r="I60" s="518"/>
      <c r="J60" s="519"/>
      <c r="K60" s="517" t="s">
        <v>51</v>
      </c>
      <c r="L60" s="518"/>
      <c r="M60" s="518"/>
      <c r="N60" s="520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/>
      <c r="D62" s="76">
        <v>7.8580798816323947</v>
      </c>
      <c r="E62" s="76">
        <v>7.2815809609816009</v>
      </c>
      <c r="F62" s="66">
        <v>4.8</v>
      </c>
      <c r="G62" s="65"/>
      <c r="H62" s="76">
        <v>8.7142691174882003</v>
      </c>
      <c r="I62" s="76">
        <v>7.8660707053589336</v>
      </c>
      <c r="J62" s="66">
        <v>4.8</v>
      </c>
      <c r="K62" s="67"/>
      <c r="L62" s="194">
        <v>0.61378248236514221</v>
      </c>
      <c r="M62" s="194">
        <v>0.76454370229477853</v>
      </c>
      <c r="N62" s="68">
        <v>1</v>
      </c>
      <c r="O62" s="56"/>
      <c r="P62" s="69"/>
    </row>
    <row r="63" spans="2:58">
      <c r="B63" s="33" t="s">
        <v>9</v>
      </c>
      <c r="C63" s="65">
        <f>L54</f>
        <v>5.9069524307370678</v>
      </c>
      <c r="D63" s="76">
        <v>7.9655471723309335</v>
      </c>
      <c r="E63" s="76">
        <v>7.1359671394026973</v>
      </c>
      <c r="F63" s="66">
        <v>4.8</v>
      </c>
      <c r="G63" s="65">
        <f>[31]March_2025!$AF$21</f>
        <v>6.591542105856993</v>
      </c>
      <c r="H63" s="76">
        <v>8.8444569053591984</v>
      </c>
      <c r="I63" s="76">
        <v>7.4685121493758038</v>
      </c>
      <c r="J63" s="66">
        <v>4.8</v>
      </c>
      <c r="K63" s="67">
        <f>K54</f>
        <v>0.31578947368421051</v>
      </c>
      <c r="L63" s="194">
        <v>0.8286568662303172</v>
      </c>
      <c r="M63" s="194">
        <v>0.74260444492159683</v>
      </c>
      <c r="N63" s="68">
        <v>1</v>
      </c>
      <c r="P63" s="69"/>
    </row>
    <row r="64" spans="2:58">
      <c r="B64" s="34" t="s">
        <v>40</v>
      </c>
      <c r="C64" s="65"/>
      <c r="D64" s="76">
        <v>10.435585654917661</v>
      </c>
      <c r="E64" s="76">
        <v>12.471734214646009</v>
      </c>
      <c r="F64" s="66">
        <v>5.5</v>
      </c>
      <c r="G64" s="65"/>
      <c r="H64" s="76">
        <v>12.668687929841122</v>
      </c>
      <c r="I64" s="76">
        <v>14.436247754556394</v>
      </c>
      <c r="J64" s="66">
        <v>5.5</v>
      </c>
      <c r="K64" s="67"/>
      <c r="L64" s="194">
        <v>0.54249999999999998</v>
      </c>
      <c r="M64" s="194">
        <v>0.52401498127340829</v>
      </c>
      <c r="N64" s="68">
        <v>1</v>
      </c>
      <c r="P64" s="69"/>
    </row>
    <row r="65" spans="2:16">
      <c r="B65" s="22" t="s">
        <v>33</v>
      </c>
      <c r="C65" s="65"/>
      <c r="D65" s="76">
        <v>10.078662733529978</v>
      </c>
      <c r="E65" s="76">
        <v>4.43750696844688</v>
      </c>
      <c r="F65" s="66">
        <v>3.3</v>
      </c>
      <c r="G65" s="65"/>
      <c r="H65" s="76">
        <v>9.2204897908965187</v>
      </c>
      <c r="I65" s="76">
        <v>6.209437755460022</v>
      </c>
      <c r="J65" s="66">
        <v>3.3</v>
      </c>
      <c r="K65" s="67"/>
      <c r="L65" s="194">
        <v>0.6417543859649123</v>
      </c>
      <c r="M65" s="194">
        <v>0.75184210526315787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>
        <v>3.0622243998040313</v>
      </c>
      <c r="E68" s="76">
        <v>2.5618217399039276</v>
      </c>
      <c r="F68" s="66">
        <v>3.3</v>
      </c>
      <c r="G68" s="282"/>
      <c r="H68" s="76">
        <v>4.90230047253743</v>
      </c>
      <c r="I68" s="76">
        <v>4.6996399261015078</v>
      </c>
      <c r="J68" s="66">
        <v>3.3</v>
      </c>
      <c r="K68" s="67"/>
      <c r="L68" s="194">
        <v>0.98924999999999996</v>
      </c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37" t="s">
        <v>165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7.7913802092711091</v>
      </c>
      <c r="E71" s="76">
        <v>7.3035358678488356</v>
      </c>
      <c r="F71" s="341">
        <v>4.5</v>
      </c>
      <c r="H71" s="76">
        <v>8.9891478776434699</v>
      </c>
      <c r="I71" s="76">
        <v>8.2531947287414855</v>
      </c>
      <c r="J71" s="341">
        <v>4.5</v>
      </c>
      <c r="L71" s="194">
        <v>0.68279420289855075</v>
      </c>
      <c r="M71" s="194">
        <v>0.73132839162999008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3">
    <mergeCell ref="L52:L53"/>
    <mergeCell ref="M52:M53"/>
    <mergeCell ref="B60:F60"/>
    <mergeCell ref="G60:J60"/>
    <mergeCell ref="K60:N60"/>
    <mergeCell ref="F52:F53"/>
    <mergeCell ref="G52:G53"/>
    <mergeCell ref="H52:H53"/>
    <mergeCell ref="I52:I53"/>
    <mergeCell ref="J52:J53"/>
    <mergeCell ref="K52:K53"/>
    <mergeCell ref="B43:B46"/>
    <mergeCell ref="D43:E44"/>
    <mergeCell ref="D45:E46"/>
    <mergeCell ref="D47:E47"/>
    <mergeCell ref="B52:B53"/>
    <mergeCell ref="C52:C53"/>
    <mergeCell ref="D52:D53"/>
    <mergeCell ref="E52:E53"/>
    <mergeCell ref="B25:B36"/>
    <mergeCell ref="D25:E26"/>
    <mergeCell ref="D27:E28"/>
    <mergeCell ref="D29:E30"/>
    <mergeCell ref="D31:E32"/>
    <mergeCell ref="D33:E34"/>
    <mergeCell ref="D35:E36"/>
    <mergeCell ref="B37:B42"/>
    <mergeCell ref="D37:E38"/>
    <mergeCell ref="J37:K37"/>
    <mergeCell ref="L38:N38"/>
    <mergeCell ref="D39:E40"/>
    <mergeCell ref="D41:E42"/>
    <mergeCell ref="T1:U1"/>
    <mergeCell ref="V1:W1"/>
    <mergeCell ref="L8:L9"/>
    <mergeCell ref="O8:O9"/>
    <mergeCell ref="P8:P9"/>
    <mergeCell ref="I23:N23"/>
    <mergeCell ref="D24:E24"/>
    <mergeCell ref="X1:Y1"/>
    <mergeCell ref="Z1:AA1"/>
    <mergeCell ref="B2:O2"/>
    <mergeCell ref="M4:N4"/>
    <mergeCell ref="C5:D5"/>
    <mergeCell ref="B8:B9"/>
    <mergeCell ref="C8:C9"/>
    <mergeCell ref="D8:D9"/>
    <mergeCell ref="G8:G9"/>
    <mergeCell ref="Q8:Q9"/>
    <mergeCell ref="I8:I9"/>
    <mergeCell ref="J8:J9"/>
    <mergeCell ref="K8:K9"/>
    <mergeCell ref="H8:H9"/>
  </mergeCells>
  <conditionalFormatting sqref="B47:B48">
    <cfRule type="cellIs" dxfId="281" priority="115" operator="notBetween">
      <formula>#REF!</formula>
      <formula>#REF!</formula>
    </cfRule>
  </conditionalFormatting>
  <conditionalFormatting sqref="C51">
    <cfRule type="cellIs" dxfId="280" priority="146" stopIfTrue="1" operator="lessThan">
      <formula>96</formula>
    </cfRule>
    <cfRule type="cellIs" dxfId="279" priority="147" stopIfTrue="1" operator="greaterThan">
      <formula>100</formula>
    </cfRule>
  </conditionalFormatting>
  <conditionalFormatting sqref="C62">
    <cfRule type="cellIs" dxfId="278" priority="70" stopIfTrue="1" operator="greaterThan">
      <formula>$F62</formula>
    </cfRule>
  </conditionalFormatting>
  <conditionalFormatting sqref="C62:C63">
    <cfRule type="cellIs" dxfId="277" priority="71" stopIfTrue="1" operator="lessThanOrEqual">
      <formula>0</formula>
    </cfRule>
  </conditionalFormatting>
  <conditionalFormatting sqref="C63">
    <cfRule type="cellIs" dxfId="276" priority="150" stopIfTrue="1" operator="greaterThan">
      <formula>$F62</formula>
    </cfRule>
  </conditionalFormatting>
  <conditionalFormatting sqref="C64:C66">
    <cfRule type="cellIs" dxfId="275" priority="95" stopIfTrue="1" operator="greaterThan">
      <formula>$F64</formula>
    </cfRule>
  </conditionalFormatting>
  <conditionalFormatting sqref="C64:C67">
    <cfRule type="cellIs" dxfId="274" priority="99" stopIfTrue="1" operator="lessThanOrEqual">
      <formula>0</formula>
    </cfRule>
  </conditionalFormatting>
  <conditionalFormatting sqref="C67">
    <cfRule type="cellIs" dxfId="273" priority="98" stopIfTrue="1" operator="greaterThan">
      <formula>$J67</formula>
    </cfRule>
  </conditionalFormatting>
  <conditionalFormatting sqref="C73:C77">
    <cfRule type="cellIs" dxfId="272" priority="138" stopIfTrue="1" operator="lessThanOrEqual">
      <formula>0</formula>
    </cfRule>
  </conditionalFormatting>
  <conditionalFormatting sqref="C74:C77">
    <cfRule type="cellIs" dxfId="271" priority="137" stopIfTrue="1" operator="greaterThan">
      <formula>$F$73</formula>
    </cfRule>
  </conditionalFormatting>
  <conditionalFormatting sqref="C79">
    <cfRule type="cellIs" dxfId="270" priority="140" stopIfTrue="1" operator="lessThanOrEqual">
      <formula>0</formula>
    </cfRule>
    <cfRule type="cellIs" dxfId="269" priority="139" stopIfTrue="1" operator="greaterThan">
      <formula>$F$73</formula>
    </cfRule>
  </conditionalFormatting>
  <conditionalFormatting sqref="C73:D73 D75:D81">
    <cfRule type="cellIs" dxfId="268" priority="132" stopIfTrue="1" operator="greaterThan">
      <formula>4.5</formula>
    </cfRule>
  </conditionalFormatting>
  <conditionalFormatting sqref="D47:D48">
    <cfRule type="cellIs" dxfId="267" priority="116" operator="notBetween">
      <formula>#REF!</formula>
      <formula>#REF!</formula>
    </cfRule>
  </conditionalFormatting>
  <conditionalFormatting sqref="D62:D69">
    <cfRule type="cellIs" dxfId="266" priority="109" stopIfTrue="1" operator="lessThanOrEqual">
      <formula>0</formula>
    </cfRule>
  </conditionalFormatting>
  <conditionalFormatting sqref="D70">
    <cfRule type="cellIs" dxfId="265" priority="108" stopIfTrue="1" operator="lessThanOrEqual">
      <formula>0</formula>
    </cfRule>
  </conditionalFormatting>
  <conditionalFormatting sqref="D73 D75:D81">
    <cfRule type="cellIs" dxfId="264" priority="133" stopIfTrue="1" operator="lessThanOrEqual">
      <formula>0</formula>
    </cfRule>
  </conditionalFormatting>
  <conditionalFormatting sqref="D74">
    <cfRule type="cellIs" dxfId="263" priority="124" stopIfTrue="1" operator="greaterThan">
      <formula>$F$73</formula>
    </cfRule>
    <cfRule type="cellIs" dxfId="262" priority="125" stopIfTrue="1" operator="lessThanOrEqual">
      <formula>0</formula>
    </cfRule>
  </conditionalFormatting>
  <conditionalFormatting sqref="D62:E71">
    <cfRule type="cellIs" dxfId="261" priority="67" stopIfTrue="1" operator="greaterThan">
      <formula>$F62</formula>
    </cfRule>
  </conditionalFormatting>
  <conditionalFormatting sqref="D71:E71">
    <cfRule type="cellIs" dxfId="260" priority="68" stopIfTrue="1" operator="lessThanOrEqual">
      <formula>0</formula>
    </cfRule>
  </conditionalFormatting>
  <conditionalFormatting sqref="E10:E22">
    <cfRule type="cellIs" dxfId="259" priority="8" operator="lessThan">
      <formula>48</formula>
    </cfRule>
  </conditionalFormatting>
  <conditionalFormatting sqref="E51">
    <cfRule type="cellIs" dxfId="258" priority="126" stopIfTrue="1" operator="lessThan">
      <formula>96.8</formula>
    </cfRule>
    <cfRule type="cellIs" dxfId="257" priority="127" stopIfTrue="1" operator="greaterThan">
      <formula>100</formula>
    </cfRule>
  </conditionalFormatting>
  <conditionalFormatting sqref="E62:E70">
    <cfRule type="cellIs" dxfId="256" priority="103" stopIfTrue="1" operator="lessThanOrEqual">
      <formula>0</formula>
    </cfRule>
  </conditionalFormatting>
  <conditionalFormatting sqref="E73:E81">
    <cfRule type="cellIs" dxfId="255" priority="119" stopIfTrue="1" operator="lessThanOrEqual">
      <formula>0</formula>
    </cfRule>
    <cfRule type="cellIs" dxfId="254" priority="118" stopIfTrue="1" operator="greaterThan">
      <formula>4.5</formula>
    </cfRule>
  </conditionalFormatting>
  <conditionalFormatting sqref="E50:F51">
    <cfRule type="cellIs" dxfId="253" priority="128" stopIfTrue="1" operator="lessThan">
      <formula>96.5</formula>
    </cfRule>
    <cfRule type="cellIs" dxfId="252" priority="129" stopIfTrue="1" operator="greaterThan">
      <formula>100</formula>
    </cfRule>
  </conditionalFormatting>
  <conditionalFormatting sqref="F10:F21">
    <cfRule type="cellIs" dxfId="251" priority="10" operator="greaterThan">
      <formula>60</formula>
    </cfRule>
  </conditionalFormatting>
  <conditionalFormatting sqref="F22">
    <cfRule type="cellIs" dxfId="250" priority="153" operator="greaterThan">
      <formula>$AA22</formula>
    </cfRule>
    <cfRule type="cellIs" dxfId="249" priority="154" operator="greaterThan">
      <formula>$AA59</formula>
    </cfRule>
  </conditionalFormatting>
  <conditionalFormatting sqref="F51">
    <cfRule type="cellIs" dxfId="248" priority="145" stopIfTrue="1" operator="greaterThan">
      <formula>100</formula>
    </cfRule>
    <cfRule type="cellIs" dxfId="247" priority="144" stopIfTrue="1" operator="lessThan">
      <formula>96.8</formula>
    </cfRule>
  </conditionalFormatting>
  <conditionalFormatting sqref="F71">
    <cfRule type="cellIs" dxfId="246" priority="105" stopIfTrue="1" operator="lessThanOrEqual">
      <formula>0</formula>
    </cfRule>
    <cfRule type="cellIs" dxfId="245" priority="104" stopIfTrue="1" operator="greaterThan">
      <formula>$F71</formula>
    </cfRule>
  </conditionalFormatting>
  <conditionalFormatting sqref="G62:G63 C68:C70">
    <cfRule type="cellIs" dxfId="244" priority="111" stopIfTrue="1" operator="lessThanOrEqual">
      <formula>0</formula>
    </cfRule>
    <cfRule type="cellIs" dxfId="243" priority="110" stopIfTrue="1" operator="greaterThan">
      <formula>$F62</formula>
    </cfRule>
  </conditionalFormatting>
  <conditionalFormatting sqref="G62:G63">
    <cfRule type="cellIs" dxfId="242" priority="76" stopIfTrue="1" operator="greaterThan">
      <formula>$F62</formula>
    </cfRule>
    <cfRule type="cellIs" dxfId="241" priority="77" stopIfTrue="1" operator="lessThanOrEqual">
      <formula>0</formula>
    </cfRule>
  </conditionalFormatting>
  <conditionalFormatting sqref="G64">
    <cfRule type="cellIs" dxfId="240" priority="149" stopIfTrue="1" operator="lessThanOrEqual">
      <formula>0</formula>
    </cfRule>
    <cfRule type="cellIs" dxfId="239" priority="148" stopIfTrue="1" operator="greaterThan">
      <formula>$F63</formula>
    </cfRule>
  </conditionalFormatting>
  <conditionalFormatting sqref="G65">
    <cfRule type="cellIs" dxfId="238" priority="107" stopIfTrue="1" operator="lessThanOrEqual">
      <formula>0</formula>
    </cfRule>
    <cfRule type="cellIs" dxfId="237" priority="106" stopIfTrue="1" operator="greaterThan">
      <formula>$F65</formula>
    </cfRule>
  </conditionalFormatting>
  <conditionalFormatting sqref="G66:G70">
    <cfRule type="cellIs" dxfId="236" priority="112" stopIfTrue="1" operator="greaterThan">
      <formula>$J66</formula>
    </cfRule>
    <cfRule type="cellIs" dxfId="235" priority="113" stopIfTrue="1" operator="lessThanOrEqual">
      <formula>0</formula>
    </cfRule>
  </conditionalFormatting>
  <conditionalFormatting sqref="G75:G80 C78 C80">
    <cfRule type="cellIs" dxfId="234" priority="142" stopIfTrue="1" operator="lessThanOrEqual">
      <formula>0</formula>
    </cfRule>
    <cfRule type="cellIs" dxfId="233" priority="141" stopIfTrue="1" operator="greaterThan">
      <formula>4.5</formula>
    </cfRule>
  </conditionalFormatting>
  <conditionalFormatting sqref="G10:H22">
    <cfRule type="expression" dxfId="232" priority="1">
      <formula>IF(+(IF(G10&lt;#REF!,0,IF(G10&gt;#REF!,0,1)))=0,1)</formula>
    </cfRule>
  </conditionalFormatting>
  <conditionalFormatting sqref="G74:H74">
    <cfRule type="cellIs" dxfId="231" priority="123" stopIfTrue="1" operator="lessThanOrEqual">
      <formula>0</formula>
    </cfRule>
    <cfRule type="cellIs" dxfId="230" priority="122" stopIfTrue="1" operator="greaterThan">
      <formula>$F$73</formula>
    </cfRule>
  </conditionalFormatting>
  <conditionalFormatting sqref="H36:H49 G37:G48">
    <cfRule type="cellIs" dxfId="229" priority="120" stopIfTrue="1" operator="greaterThan">
      <formula>0</formula>
    </cfRule>
  </conditionalFormatting>
  <conditionalFormatting sqref="H54:H56">
    <cfRule type="cellIs" dxfId="228" priority="51" stopIfTrue="1" operator="lessThanOrEqual">
      <formula>0</formula>
    </cfRule>
    <cfRule type="cellIs" dxfId="227" priority="40" stopIfTrue="1" operator="greaterThan">
      <formula>$F$35</formula>
    </cfRule>
    <cfRule type="cellIs" dxfId="226" priority="39" stopIfTrue="1" operator="lessThanOrEqual">
      <formula>0</formula>
    </cfRule>
    <cfRule type="cellIs" dxfId="225" priority="48" stopIfTrue="1" operator="greaterThan">
      <formula>$F$38</formula>
    </cfRule>
    <cfRule type="cellIs" dxfId="224" priority="49" stopIfTrue="1" operator="lessThanOrEqual">
      <formula>0</formula>
    </cfRule>
    <cfRule type="cellIs" dxfId="223" priority="50" stopIfTrue="1" operator="greaterThan">
      <formula>$F$36</formula>
    </cfRule>
  </conditionalFormatting>
  <conditionalFormatting sqref="H57">
    <cfRule type="cellIs" dxfId="222" priority="94" stopIfTrue="1" operator="lessThanOrEqual">
      <formula>0</formula>
    </cfRule>
    <cfRule type="cellIs" dxfId="221" priority="93" stopIfTrue="1" operator="greaterThan">
      <formula>$F$62</formula>
    </cfRule>
    <cfRule type="cellIs" dxfId="220" priority="92" stopIfTrue="1" operator="lessThanOrEqual">
      <formula>0</formula>
    </cfRule>
    <cfRule type="cellIs" dxfId="219" priority="91" stopIfTrue="1" operator="greaterThan">
      <formula>$F$64</formula>
    </cfRule>
    <cfRule type="cellIs" dxfId="218" priority="83" stopIfTrue="1" operator="greaterThan">
      <formula>$F$61</formula>
    </cfRule>
    <cfRule type="cellIs" dxfId="217" priority="82" stopIfTrue="1" operator="lessThanOrEqual">
      <formula>0</formula>
    </cfRule>
  </conditionalFormatting>
  <conditionalFormatting sqref="H58">
    <cfRule type="cellIs" dxfId="216" priority="26" stopIfTrue="1" operator="greaterThan">
      <formula>$F$36</formula>
    </cfRule>
    <cfRule type="cellIs" dxfId="215" priority="25" stopIfTrue="1" operator="lessThanOrEqual">
      <formula>0</formula>
    </cfRule>
    <cfRule type="cellIs" dxfId="214" priority="24" stopIfTrue="1" operator="greaterThan">
      <formula>$F$38</formula>
    </cfRule>
    <cfRule type="cellIs" dxfId="213" priority="27" stopIfTrue="1" operator="lessThanOrEqual">
      <formula>0</formula>
    </cfRule>
    <cfRule type="cellIs" dxfId="212" priority="16" stopIfTrue="1" operator="greaterThan">
      <formula>$F$35</formula>
    </cfRule>
    <cfRule type="cellIs" dxfId="211" priority="15" stopIfTrue="1" operator="lessThanOrEqual">
      <formula>0</formula>
    </cfRule>
  </conditionalFormatting>
  <conditionalFormatting sqref="H62:H69">
    <cfRule type="cellIs" dxfId="210" priority="96" stopIfTrue="1" operator="greaterThan">
      <formula>$J62</formula>
    </cfRule>
    <cfRule type="cellIs" dxfId="209" priority="97" stopIfTrue="1" operator="lessThanOrEqual">
      <formula>0</formula>
    </cfRule>
  </conditionalFormatting>
  <conditionalFormatting sqref="H70">
    <cfRule type="cellIs" dxfId="208" priority="100" operator="greaterThan">
      <formula>5.3</formula>
    </cfRule>
  </conditionalFormatting>
  <conditionalFormatting sqref="H73 H75:H81">
    <cfRule type="cellIs" dxfId="207" priority="134" stopIfTrue="1" operator="greaterThan">
      <formula>4.5</formula>
    </cfRule>
    <cfRule type="cellIs" dxfId="206" priority="135" stopIfTrue="1" operator="lessThanOrEqual">
      <formula>0</formula>
    </cfRule>
  </conditionalFormatting>
  <conditionalFormatting sqref="H54:I56">
    <cfRule type="cellIs" dxfId="205" priority="41" stopIfTrue="1" operator="lessThanOrEqual">
      <formula>0</formula>
    </cfRule>
    <cfRule type="cellIs" dxfId="204" priority="38" stopIfTrue="1" operator="greaterThan">
      <formula>$F$37</formula>
    </cfRule>
  </conditionalFormatting>
  <conditionalFormatting sqref="H57:I57">
    <cfRule type="cellIs" dxfId="203" priority="84" stopIfTrue="1" operator="lessThanOrEqual">
      <formula>0</formula>
    </cfRule>
    <cfRule type="cellIs" dxfId="202" priority="81" stopIfTrue="1" operator="greaterThan">
      <formula>$F$63</formula>
    </cfRule>
  </conditionalFormatting>
  <conditionalFormatting sqref="H58:I58">
    <cfRule type="cellIs" dxfId="201" priority="14" stopIfTrue="1" operator="greaterThan">
      <formula>$F$37</formula>
    </cfRule>
    <cfRule type="cellIs" dxfId="200" priority="17" stopIfTrue="1" operator="lessThanOrEqual">
      <formula>0</formula>
    </cfRule>
  </conditionalFormatting>
  <conditionalFormatting sqref="H71:I71">
    <cfRule type="cellIs" dxfId="199" priority="66" stopIfTrue="1" operator="lessThanOrEqual">
      <formula>0</formula>
    </cfRule>
    <cfRule type="cellIs" dxfId="198" priority="65" stopIfTrue="1" operator="greaterThan">
      <formula>$J71</formula>
    </cfRule>
  </conditionalFormatting>
  <conditionalFormatting sqref="I22">
    <cfRule type="cellIs" dxfId="197" priority="75" operator="lessThan">
      <formula>98</formula>
    </cfRule>
    <cfRule type="cellIs" dxfId="196" priority="72" operator="lessThan">
      <formula>97.8</formula>
    </cfRule>
  </conditionalFormatting>
  <conditionalFormatting sqref="I54:I56">
    <cfRule type="cellIs" dxfId="195" priority="44" stopIfTrue="1" operator="greaterThan">
      <formula>$F$37</formula>
    </cfRule>
    <cfRule type="cellIs" dxfId="194" priority="43" stopIfTrue="1" operator="lessThanOrEqual">
      <formula>0</formula>
    </cfRule>
    <cfRule type="cellIs" dxfId="193" priority="42" stopIfTrue="1" operator="greaterThan">
      <formula>$F$35</formula>
    </cfRule>
    <cfRule type="cellIs" dxfId="192" priority="47" stopIfTrue="1" operator="lessThanOrEqual">
      <formula>0</formula>
    </cfRule>
    <cfRule type="cellIs" dxfId="191" priority="46" stopIfTrue="1" operator="greaterThan">
      <formula>$F$35</formula>
    </cfRule>
    <cfRule type="cellIs" dxfId="190" priority="45" stopIfTrue="1" operator="lessThanOrEqual">
      <formula>0</formula>
    </cfRule>
  </conditionalFormatting>
  <conditionalFormatting sqref="I57">
    <cfRule type="cellIs" dxfId="189" priority="90" stopIfTrue="1" operator="lessThanOrEqual">
      <formula>0</formula>
    </cfRule>
    <cfRule type="cellIs" dxfId="188" priority="89" stopIfTrue="1" operator="greaterThan">
      <formula>$F$61</formula>
    </cfRule>
    <cfRule type="cellIs" dxfId="187" priority="87" stopIfTrue="1" operator="greaterThan">
      <formula>$F$63</formula>
    </cfRule>
    <cfRule type="cellIs" dxfId="186" priority="86" stopIfTrue="1" operator="lessThanOrEqual">
      <formula>0</formula>
    </cfRule>
    <cfRule type="cellIs" dxfId="185" priority="85" stopIfTrue="1" operator="greaterThan">
      <formula>$F$61</formula>
    </cfRule>
    <cfRule type="cellIs" dxfId="184" priority="88" stopIfTrue="1" operator="lessThanOrEqual">
      <formula>0</formula>
    </cfRule>
  </conditionalFormatting>
  <conditionalFormatting sqref="I58">
    <cfRule type="cellIs" dxfId="183" priority="22" stopIfTrue="1" operator="greaterThan">
      <formula>$F$35</formula>
    </cfRule>
    <cfRule type="cellIs" dxfId="182" priority="18" stopIfTrue="1" operator="greaterThan">
      <formula>$F$35</formula>
    </cfRule>
    <cfRule type="cellIs" dxfId="181" priority="19" stopIfTrue="1" operator="lessThanOrEqual">
      <formula>0</formula>
    </cfRule>
    <cfRule type="cellIs" dxfId="180" priority="21" stopIfTrue="1" operator="lessThanOrEqual">
      <formula>0</formula>
    </cfRule>
    <cfRule type="cellIs" dxfId="179" priority="20" stopIfTrue="1" operator="greaterThan">
      <formula>$F$37</formula>
    </cfRule>
    <cfRule type="cellIs" dxfId="178" priority="23" stopIfTrue="1" operator="lessThanOrEqual">
      <formula>0</formula>
    </cfRule>
  </conditionalFormatting>
  <conditionalFormatting sqref="I62:I70">
    <cfRule type="cellIs" dxfId="177" priority="101" stopIfTrue="1" operator="greaterThan">
      <formula>$J62</formula>
    </cfRule>
    <cfRule type="cellIs" dxfId="176" priority="102" stopIfTrue="1" operator="lessThanOrEqual">
      <formula>0</formula>
    </cfRule>
  </conditionalFormatting>
  <conditionalFormatting sqref="I73:I81">
    <cfRule type="cellIs" dxfId="175" priority="131" stopIfTrue="1" operator="lessThanOrEqual">
      <formula>0</formula>
    </cfRule>
    <cfRule type="cellIs" dxfId="174" priority="130" stopIfTrue="1" operator="greaterThan">
      <formula>4.5</formula>
    </cfRule>
  </conditionalFormatting>
  <conditionalFormatting sqref="I10:J21">
    <cfRule type="cellIs" dxfId="173" priority="11" operator="lessThan">
      <formula>97.9</formula>
    </cfRule>
  </conditionalFormatting>
  <conditionalFormatting sqref="J22">
    <cfRule type="cellIs" dxfId="172" priority="74" operator="lessThan">
      <formula>97.4</formula>
    </cfRule>
    <cfRule type="cellIs" dxfId="171" priority="73" operator="notBetween">
      <formula>98</formula>
      <formula>99.9</formula>
    </cfRule>
  </conditionalFormatting>
  <conditionalFormatting sqref="J25:J27">
    <cfRule type="cellIs" dxfId="170" priority="54" stopIfTrue="1" operator="lessThan">
      <formula>96.8</formula>
    </cfRule>
    <cfRule type="cellIs" dxfId="169" priority="55" stopIfTrue="1" operator="greaterThan">
      <formula>100</formula>
    </cfRule>
    <cfRule type="cellIs" dxfId="168" priority="56" operator="lessThan">
      <formula>98</formula>
    </cfRule>
  </conditionalFormatting>
  <conditionalFormatting sqref="J25:J29">
    <cfRule type="cellIs" dxfId="167" priority="53" operator="lessThan">
      <formula>97.4</formula>
    </cfRule>
  </conditionalFormatting>
  <conditionalFormatting sqref="J30">
    <cfRule type="cellIs" dxfId="166" priority="57" operator="lessThan">
      <formula>98</formula>
    </cfRule>
  </conditionalFormatting>
  <conditionalFormatting sqref="J31:J33">
    <cfRule type="cellIs" dxfId="165" priority="58" stopIfTrue="1" operator="lessThan">
      <formula>96.8</formula>
    </cfRule>
    <cfRule type="cellIs" dxfId="164" priority="59" stopIfTrue="1" operator="greaterThan">
      <formula>100</formula>
    </cfRule>
  </conditionalFormatting>
  <conditionalFormatting sqref="J31:J34">
    <cfRule type="cellIs" dxfId="163" priority="60" operator="lessThan">
      <formula>98</formula>
    </cfRule>
  </conditionalFormatting>
  <conditionalFormatting sqref="J71">
    <cfRule type="cellIs" dxfId="162" priority="62" stopIfTrue="1" operator="greaterThan">
      <formula>$F71</formula>
    </cfRule>
    <cfRule type="cellIs" dxfId="161" priority="63" stopIfTrue="1" operator="lessThanOrEqual">
      <formula>0</formula>
    </cfRule>
  </conditionalFormatting>
  <conditionalFormatting sqref="K10:K22">
    <cfRule type="cellIs" dxfId="160" priority="5" operator="lessThan">
      <formula>4</formula>
    </cfRule>
    <cfRule type="cellIs" dxfId="159" priority="9" operator="greaterThan">
      <formula>6.4</formula>
    </cfRule>
    <cfRule type="cellIs" dxfId="158" priority="4" operator="greaterThan">
      <formula>6</formula>
    </cfRule>
  </conditionalFormatting>
  <conditionalFormatting sqref="K39:K48">
    <cfRule type="cellIs" dxfId="157" priority="52" operator="notEqual">
      <formula>#REF!</formula>
    </cfRule>
  </conditionalFormatting>
  <conditionalFormatting sqref="K54:K58 K62:N65 L66:N66 K67:N70">
    <cfRule type="cellIs" dxfId="156" priority="114" stopIfTrue="1" operator="lessThan">
      <formula>100%</formula>
    </cfRule>
  </conditionalFormatting>
  <conditionalFormatting sqref="K73:K78">
    <cfRule type="cellIs" dxfId="155" priority="136" stopIfTrue="1" operator="lessThan">
      <formula>100%</formula>
    </cfRule>
  </conditionalFormatting>
  <conditionalFormatting sqref="K80:K81">
    <cfRule type="cellIs" dxfId="154" priority="143" stopIfTrue="1" operator="lessThan">
      <formula>100%</formula>
    </cfRule>
  </conditionalFormatting>
  <conditionalFormatting sqref="L10:L22">
    <cfRule type="cellIs" dxfId="153" priority="6" operator="between">
      <formula>61</formula>
      <formula>65</formula>
    </cfRule>
    <cfRule type="cellIs" dxfId="152" priority="7" operator="greaterThan">
      <formula>65</formula>
    </cfRule>
  </conditionalFormatting>
  <conditionalFormatting sqref="L25:M36">
    <cfRule type="cellIs" dxfId="151" priority="69" operator="lessThan">
      <formula>98</formula>
    </cfRule>
  </conditionalFormatting>
  <conditionalFormatting sqref="L40:N40">
    <cfRule type="cellIs" dxfId="150" priority="78" operator="notEqual">
      <formula>#REF!</formula>
    </cfRule>
  </conditionalFormatting>
  <conditionalFormatting sqref="L71:N71">
    <cfRule type="cellIs" dxfId="149" priority="64" stopIfTrue="1" operator="lessThan">
      <formula>100%</formula>
    </cfRule>
  </conditionalFormatting>
  <conditionalFormatting sqref="L73:N81">
    <cfRule type="cellIs" dxfId="148" priority="121" stopIfTrue="1" operator="lessThan">
      <formula>100%</formula>
    </cfRule>
  </conditionalFormatting>
  <conditionalFormatting sqref="M10:M22">
    <cfRule type="expression" dxfId="147" priority="2">
      <formula>IF(+(IF(M10&lt;V10,0,IF(M10&gt;W10,0,1)))=0,1)</formula>
    </cfRule>
  </conditionalFormatting>
  <conditionalFormatting sqref="M6:N6">
    <cfRule type="cellIs" dxfId="146" priority="80" operator="greaterThanOrEqual">
      <formula>19</formula>
    </cfRule>
    <cfRule type="cellIs" dxfId="145" priority="79" operator="greaterThanOrEqual">
      <formula>15</formula>
    </cfRule>
  </conditionalFormatting>
  <conditionalFormatting sqref="N10:N22">
    <cfRule type="expression" dxfId="144" priority="3">
      <formula>IF(+(IF(N10&lt;X10,0,IF(N10&gt;Y10,0,1)))=0,1)</formula>
    </cfRule>
  </conditionalFormatting>
  <conditionalFormatting sqref="N22">
    <cfRule type="expression" dxfId="143" priority="151">
      <formula>IF(+(IF(N22&lt;X64,0,IF(N22&gt;Y64,0,1)))=0,1)</formula>
    </cfRule>
    <cfRule type="expression" dxfId="142" priority="152">
      <formula>IF(+(IF(N22&lt;X59,0,IF(N22&gt;Y59,0,1)))=0,1)</formula>
    </cfRule>
  </conditionalFormatting>
  <conditionalFormatting sqref="P6">
    <cfRule type="cellIs" dxfId="141" priority="117" operator="greaterThanOrEqual">
      <formula>19</formula>
    </cfRule>
  </conditionalFormatting>
  <dataValidations count="1">
    <dataValidation type="list" allowBlank="1" showInputMessage="1" showErrorMessage="1" sqref="S8 B22" xr:uid="{1818062A-5AD9-42A3-AF1D-D0C92C831F9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971E-7AE8-4CBF-9DB5-100766A8DCB4}">
  <sheetPr>
    <pageSetUpPr fitToPage="1"/>
  </sheetPr>
  <dimension ref="A1:BF83"/>
  <sheetViews>
    <sheetView tabSelected="1" topLeftCell="A49" zoomScale="80" zoomScaleNormal="80" workbookViewId="0">
      <selection activeCell="F74" sqref="F74"/>
    </sheetView>
  </sheetViews>
  <sheetFormatPr defaultColWidth="9.44140625" defaultRowHeight="13.8"/>
  <cols>
    <col min="1" max="1" width="3.33203125" style="275" customWidth="1"/>
    <col min="2" max="2" width="26.33203125" style="275" customWidth="1"/>
    <col min="3" max="3" width="20.6640625" style="275" customWidth="1"/>
    <col min="4" max="4" width="9.88671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7.88671875" style="275" customWidth="1"/>
    <col min="9" max="9" width="21.33203125" style="275" customWidth="1"/>
    <col min="10" max="10" width="28.6640625" style="275" customWidth="1"/>
    <col min="11" max="11" width="26.332031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5.1093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57" t="s">
        <v>0</v>
      </c>
      <c r="U1" s="457"/>
      <c r="V1" s="457" t="s">
        <v>1</v>
      </c>
      <c r="W1" s="457"/>
      <c r="X1" s="457" t="s">
        <v>2</v>
      </c>
      <c r="Y1" s="457"/>
      <c r="Z1" s="457" t="s">
        <v>124</v>
      </c>
      <c r="AA1" s="457"/>
    </row>
    <row r="2" spans="2:30" ht="14.4">
      <c r="B2" s="458" t="s">
        <v>3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0.22569444444444445</v>
      </c>
      <c r="Y3" s="10">
        <v>0.2638888888888889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50">
        <v>45748</v>
      </c>
      <c r="J4" s="401" t="s">
        <v>205</v>
      </c>
      <c r="K4" s="401"/>
      <c r="L4" s="11"/>
      <c r="M4" s="455" t="s">
        <v>8</v>
      </c>
      <c r="N4" s="456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0.22569444444444445</v>
      </c>
      <c r="Y4" s="10">
        <v>0.2638888888888889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452"/>
      <c r="D5" s="452"/>
      <c r="J5" s="407"/>
      <c r="K5" s="407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0.24652777777777779</v>
      </c>
      <c r="Y5" s="10">
        <v>0.28472222222222221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03" t="s">
        <v>204</v>
      </c>
      <c r="K6" s="404"/>
      <c r="L6" s="311" t="s">
        <v>14</v>
      </c>
      <c r="M6" s="340">
        <v>12</v>
      </c>
      <c r="N6" s="340">
        <v>10</v>
      </c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0.27430555555555552</v>
      </c>
      <c r="Y6" s="10">
        <v>0.30208333333333331</v>
      </c>
      <c r="Z6" s="273">
        <v>0</v>
      </c>
      <c r="AA6" s="274"/>
      <c r="AB6" s="13"/>
      <c r="AC6" s="13"/>
      <c r="AD6" s="13"/>
    </row>
    <row r="7" spans="2:30" ht="13.35" customHeight="1" thickBot="1">
      <c r="J7" s="405"/>
      <c r="K7" s="40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0.27430555555555552</v>
      </c>
      <c r="Y7" s="10">
        <v>0.30902777777777779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65" t="s">
        <v>17</v>
      </c>
      <c r="C8" s="467" t="s">
        <v>18</v>
      </c>
      <c r="D8" s="467" t="s">
        <v>19</v>
      </c>
      <c r="E8" s="356" t="s">
        <v>20</v>
      </c>
      <c r="F8" s="356" t="s">
        <v>21</v>
      </c>
      <c r="G8" s="467" t="s">
        <v>22</v>
      </c>
      <c r="H8" s="469" t="s">
        <v>144</v>
      </c>
      <c r="I8" s="467" t="s">
        <v>159</v>
      </c>
      <c r="J8" s="471" t="s">
        <v>23</v>
      </c>
      <c r="K8" s="473" t="s">
        <v>142</v>
      </c>
      <c r="L8" s="475" t="s">
        <v>24</v>
      </c>
      <c r="M8" s="359" t="s">
        <v>25</v>
      </c>
      <c r="N8" s="17" t="s">
        <v>26</v>
      </c>
      <c r="O8" s="467" t="s">
        <v>155</v>
      </c>
      <c r="P8" s="477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0.27430555555555552</v>
      </c>
      <c r="Y8" s="10">
        <v>0.30208333333333331</v>
      </c>
      <c r="Z8" s="273">
        <v>0</v>
      </c>
      <c r="AA8" s="274"/>
      <c r="AB8" s="19"/>
    </row>
    <row r="9" spans="2:30" ht="27.6">
      <c r="B9" s="466"/>
      <c r="C9" s="468"/>
      <c r="D9" s="468"/>
      <c r="E9" s="357" t="s">
        <v>30</v>
      </c>
      <c r="F9" s="357" t="s">
        <v>31</v>
      </c>
      <c r="G9" s="468"/>
      <c r="H9" s="470"/>
      <c r="I9" s="468"/>
      <c r="J9" s="472"/>
      <c r="K9" s="474"/>
      <c r="L9" s="476"/>
      <c r="M9" s="20" t="s">
        <v>32</v>
      </c>
      <c r="N9" s="21" t="s">
        <v>41</v>
      </c>
      <c r="O9" s="468"/>
      <c r="P9" s="478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0.26041666666666669</v>
      </c>
      <c r="Y9" s="10">
        <v>0.2951388888888889</v>
      </c>
      <c r="Z9" s="273">
        <v>0</v>
      </c>
      <c r="AA9" s="274">
        <v>75</v>
      </c>
      <c r="AB9" s="19"/>
    </row>
    <row r="10" spans="2:30" ht="15.75" customHeight="1">
      <c r="B10" s="34" t="s">
        <v>12</v>
      </c>
      <c r="C10" s="366" t="str">
        <f>[25]Brewhouse!$A32</f>
        <v>GU027</v>
      </c>
      <c r="D10" s="279">
        <f>[25]Brewhouse!$AF32</f>
        <v>56.7</v>
      </c>
      <c r="E10" s="279">
        <f>[25]Brewhouse!$AI32</f>
        <v>50.8</v>
      </c>
      <c r="F10" s="278">
        <f>[25]Brewhouse!$V32</f>
        <v>68</v>
      </c>
      <c r="G10" s="279">
        <f>[25]Brewhouse!$AG32</f>
        <v>17.5</v>
      </c>
      <c r="H10" s="396">
        <v>17.5</v>
      </c>
      <c r="I10" s="368">
        <f>[25]Brewhouse!$AU32</f>
        <v>94.125484514622414</v>
      </c>
      <c r="J10" s="368">
        <f>[25]Brewhouse!$AV32</f>
        <v>95.20947112857607</v>
      </c>
      <c r="K10" s="281">
        <f>[25]Brewhouse!$R32</f>
        <v>3.2427578021294794</v>
      </c>
      <c r="L10" s="276">
        <f>[25]Brewhouse!$O32</f>
        <v>55</v>
      </c>
      <c r="M10" s="397">
        <f>[25]Brewhouse!$U32-[25]Brewhouse!$T32</f>
        <v>0.1118055555555556</v>
      </c>
      <c r="N10" s="370">
        <f>[25]Brewhouse!$Z32</f>
        <v>0.24375000000000002</v>
      </c>
      <c r="O10" s="371" t="str">
        <f>[25]Brewhouse!$AW32</f>
        <v>R.Sookram</v>
      </c>
      <c r="P10" s="441"/>
      <c r="Q10" s="347"/>
      <c r="S10" s="277" t="str">
        <f t="shared" ref="S10:S24" si="0">B10</f>
        <v>GUINNESS</v>
      </c>
      <c r="T10" s="296">
        <f t="shared" ref="T10:T24" si="1">VLOOKUP($B10,$S$3:$Y$9,2,FALSE)</f>
        <v>17</v>
      </c>
      <c r="U10" s="296">
        <f t="shared" ref="U10:U24" si="2">VLOOKUP($B10,$S$3:$Y$9,3,FALSE)</f>
        <v>17.5</v>
      </c>
      <c r="V10" s="297">
        <f t="shared" ref="V10:V24" si="3">VLOOKUP($B10,$S$3:$Y$9,4,FALSE)</f>
        <v>0</v>
      </c>
      <c r="W10" s="297">
        <f t="shared" ref="W10:W24" si="4">VLOOKUP($B10,$S$3:$Y$9,5,FALSE)</f>
        <v>0.1076388888888889</v>
      </c>
      <c r="X10" s="297">
        <f t="shared" ref="X10:X24" si="5">VLOOKUP($B10,$S$3:$Y$9,6,FALSE)</f>
        <v>0.24652777777777779</v>
      </c>
      <c r="Y10" s="297">
        <f t="shared" ref="Y10:Y24" si="6">VLOOKUP($B10,$S$3:$Y$9,7,FALSE)</f>
        <v>0.28472222222222221</v>
      </c>
      <c r="Z10" s="297">
        <f t="shared" ref="Z10:Z24" si="7">VLOOKUP($B10,$S$3:$AA$9,8,FALSE)</f>
        <v>0</v>
      </c>
      <c r="AA10" s="296">
        <f t="shared" ref="AA10:AA24" si="8">VLOOKUP($B10,$S$3:$AA$9,9,FALSE)</f>
        <v>60</v>
      </c>
    </row>
    <row r="11" spans="2:30" ht="15.75" customHeight="1">
      <c r="B11" s="34" t="s">
        <v>12</v>
      </c>
      <c r="C11" s="366" t="str">
        <f>[25]Brewhouse!$A33</f>
        <v>GU028</v>
      </c>
      <c r="D11" s="279">
        <f>[25]Brewhouse!$AF33</f>
        <v>56.9</v>
      </c>
      <c r="E11" s="279">
        <f>[25]Brewhouse!$AI33</f>
        <v>51.7</v>
      </c>
      <c r="F11" s="278">
        <f>[25]Brewhouse!$V33</f>
        <v>64</v>
      </c>
      <c r="G11" s="279">
        <f>[25]Brewhouse!$AG33</f>
        <v>17.8</v>
      </c>
      <c r="H11" s="396">
        <v>17.8</v>
      </c>
      <c r="I11" s="368">
        <f>[25]Brewhouse!$AU33</f>
        <v>97.508191618159188</v>
      </c>
      <c r="J11" s="368">
        <f>[25]Brewhouse!$AV33</f>
        <v>98.631352541016398</v>
      </c>
      <c r="K11" s="281">
        <f>[25]Brewhouse!$R33</f>
        <v>4.6853146853146841</v>
      </c>
      <c r="L11" s="276">
        <f>[25]Brewhouse!$O33</f>
        <v>62</v>
      </c>
      <c r="M11" s="397">
        <f>[25]Brewhouse!$U33-[25]Brewhouse!$T33</f>
        <v>0.12083333333333335</v>
      </c>
      <c r="N11" s="370">
        <f>[25]Brewhouse!$Z33</f>
        <v>0.24583333333333335</v>
      </c>
      <c r="O11" s="371" t="str">
        <f>[25]Brewhouse!$AW33</f>
        <v>R.Sookram</v>
      </c>
      <c r="P11" s="441"/>
      <c r="Q11" s="347"/>
      <c r="S11" s="277" t="str">
        <f t="shared" si="0"/>
        <v>GUINNESS</v>
      </c>
      <c r="T11" s="296">
        <f t="shared" si="1"/>
        <v>17</v>
      </c>
      <c r="U11" s="296">
        <f t="shared" si="2"/>
        <v>17.5</v>
      </c>
      <c r="V11" s="297">
        <f t="shared" si="3"/>
        <v>0</v>
      </c>
      <c r="W11" s="297">
        <f t="shared" si="4"/>
        <v>0.1076388888888889</v>
      </c>
      <c r="X11" s="297">
        <f t="shared" si="5"/>
        <v>0.24652777777777779</v>
      </c>
      <c r="Y11" s="297">
        <f t="shared" si="6"/>
        <v>0.28472222222222221</v>
      </c>
      <c r="Z11" s="297">
        <f t="shared" si="7"/>
        <v>0</v>
      </c>
      <c r="AA11" s="296">
        <f t="shared" si="8"/>
        <v>60</v>
      </c>
    </row>
    <row r="12" spans="2:30" ht="15.75" customHeight="1">
      <c r="B12" s="34" t="s">
        <v>12</v>
      </c>
      <c r="C12" s="366" t="str">
        <f>[25]Brewhouse!$A34</f>
        <v>GU029</v>
      </c>
      <c r="D12" s="279">
        <f>[25]Brewhouse!$AF34</f>
        <v>59.1</v>
      </c>
      <c r="E12" s="279">
        <f>[25]Brewhouse!$AI34</f>
        <v>53.9</v>
      </c>
      <c r="F12" s="278">
        <f>[25]Brewhouse!$V34</f>
        <v>67</v>
      </c>
      <c r="G12" s="279">
        <f>[25]Brewhouse!$AG34</f>
        <v>17.2</v>
      </c>
      <c r="H12" s="396">
        <v>17.170000000000002</v>
      </c>
      <c r="I12" s="368">
        <f>[25]Brewhouse!$AU34</f>
        <v>97.827131938655612</v>
      </c>
      <c r="J12" s="368">
        <f>[25]Brewhouse!$AV34</f>
        <v>98.954402437197203</v>
      </c>
      <c r="K12" s="281">
        <f>[25]Brewhouse!$R34</f>
        <v>2.8014184397163091</v>
      </c>
      <c r="L12" s="276">
        <f>[25]Brewhouse!$O34</f>
        <v>60</v>
      </c>
      <c r="M12" s="397">
        <f>[25]Brewhouse!$U34-[25]Brewhouse!$T34</f>
        <v>0.125</v>
      </c>
      <c r="N12" s="370">
        <f>[25]Brewhouse!$Z34</f>
        <v>0.25694444444444442</v>
      </c>
      <c r="O12" s="371" t="str">
        <f>[25]Brewhouse!$AW34</f>
        <v>K. Benjamin</v>
      </c>
      <c r="P12" s="441"/>
      <c r="Q12" s="347"/>
      <c r="S12" s="277" t="str">
        <f t="shared" si="0"/>
        <v>GUINNESS</v>
      </c>
      <c r="T12" s="296">
        <f t="shared" si="1"/>
        <v>17</v>
      </c>
      <c r="U12" s="296">
        <f t="shared" si="2"/>
        <v>17.5</v>
      </c>
      <c r="V12" s="297">
        <f t="shared" si="3"/>
        <v>0</v>
      </c>
      <c r="W12" s="297">
        <f t="shared" si="4"/>
        <v>0.1076388888888889</v>
      </c>
      <c r="X12" s="297">
        <f t="shared" si="5"/>
        <v>0.24652777777777779</v>
      </c>
      <c r="Y12" s="297">
        <f t="shared" si="6"/>
        <v>0.28472222222222221</v>
      </c>
      <c r="Z12" s="297">
        <f t="shared" si="7"/>
        <v>0</v>
      </c>
      <c r="AA12" s="296">
        <f t="shared" si="8"/>
        <v>60</v>
      </c>
    </row>
    <row r="13" spans="2:30" ht="15.75" customHeight="1">
      <c r="B13" s="34" t="s">
        <v>12</v>
      </c>
      <c r="C13" s="366" t="str">
        <f>[25]Brewhouse!$A35</f>
        <v>GU030</v>
      </c>
      <c r="D13" s="279">
        <f>[25]Brewhouse!$AF35</f>
        <v>58.6</v>
      </c>
      <c r="E13" s="279">
        <f>[25]Brewhouse!$AI35</f>
        <v>53.7</v>
      </c>
      <c r="F13" s="278">
        <f>[25]Brewhouse!$V35</f>
        <v>65</v>
      </c>
      <c r="G13" s="279">
        <f>[25]Brewhouse!$AG35</f>
        <v>17</v>
      </c>
      <c r="H13" s="396">
        <v>17</v>
      </c>
      <c r="I13" s="368">
        <f>[25]Brewhouse!$AU35</f>
        <v>96.619542475024176</v>
      </c>
      <c r="J13" s="368">
        <f>[25]Brewhouse!$AV35</f>
        <v>97.731819207339981</v>
      </c>
      <c r="K13" s="281">
        <f>[25]Brewhouse!$R35</f>
        <v>2.5649913344887416</v>
      </c>
      <c r="L13" s="276">
        <f>[25]Brewhouse!$O35</f>
        <v>58</v>
      </c>
      <c r="M13" s="397">
        <f>[25]Brewhouse!$U35-[25]Brewhouse!$T35</f>
        <v>0.11944444444444446</v>
      </c>
      <c r="N13" s="370">
        <f>[25]Brewhouse!$Z35</f>
        <v>0.25347222222222221</v>
      </c>
      <c r="O13" s="371" t="str">
        <f>[25]Brewhouse!$AW35</f>
        <v>R. Regis</v>
      </c>
      <c r="P13" s="441"/>
      <c r="Q13" s="347"/>
      <c r="S13" s="277" t="str">
        <f t="shared" si="0"/>
        <v>GUINNESS</v>
      </c>
      <c r="T13" s="296">
        <f t="shared" si="1"/>
        <v>17</v>
      </c>
      <c r="U13" s="296">
        <f t="shared" si="2"/>
        <v>17.5</v>
      </c>
      <c r="V13" s="297">
        <f t="shared" si="3"/>
        <v>0</v>
      </c>
      <c r="W13" s="297">
        <f t="shared" si="4"/>
        <v>0.1076388888888889</v>
      </c>
      <c r="X13" s="297">
        <f t="shared" si="5"/>
        <v>0.24652777777777779</v>
      </c>
      <c r="Y13" s="297">
        <f t="shared" si="6"/>
        <v>0.28472222222222221</v>
      </c>
      <c r="Z13" s="297">
        <f t="shared" si="7"/>
        <v>0</v>
      </c>
      <c r="AA13" s="296">
        <f t="shared" si="8"/>
        <v>60</v>
      </c>
    </row>
    <row r="14" spans="2:30" ht="15.75" customHeight="1">
      <c r="B14" s="34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41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customHeight="1">
      <c r="B15" s="34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41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customHeight="1">
      <c r="B16" s="34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41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1:27" ht="15.75" customHeight="1">
      <c r="B17" s="34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41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41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1:27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41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41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369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1:27" ht="14.4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369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1:27" ht="15" thickBot="1">
      <c r="B24" s="388" t="s">
        <v>145</v>
      </c>
      <c r="C24" s="388"/>
      <c r="D24" s="459" t="s">
        <v>35</v>
      </c>
      <c r="E24" s="460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S24" s="277" t="str">
        <f t="shared" si="0"/>
        <v>BRAND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1:27" ht="15" customHeight="1">
      <c r="A25" s="28"/>
      <c r="B25" s="542" t="str">
        <f>I26</f>
        <v>STAG</v>
      </c>
      <c r="C25" s="362">
        <f>[24]Process!D117</f>
        <v>11.71</v>
      </c>
      <c r="D25" s="485">
        <v>11.8</v>
      </c>
      <c r="E25" s="486"/>
      <c r="F25" s="294"/>
      <c r="G25" s="294"/>
      <c r="H25" s="348"/>
      <c r="I25" s="29" t="s">
        <v>6</v>
      </c>
      <c r="J25" s="280"/>
      <c r="K25" s="284">
        <f>COUNTA([23]Brewhouse!$A$255:$A$339)</f>
        <v>85</v>
      </c>
      <c r="L25" s="302">
        <f>AVERAGE([23]Brewhouse!$AU$255:$AU339)</f>
        <v>98.885783752206578</v>
      </c>
      <c r="M25" s="302">
        <f>AVERAGE([23]Brewhouse!$AU$102:$AU$171,[23]Brewhouse!$AU$173:$AU$253,[23]Brewhouse!$AU$255:$AU$339)</f>
        <v>96.787954543072118</v>
      </c>
      <c r="N25" s="30">
        <v>98</v>
      </c>
      <c r="O25" s="11"/>
      <c r="P25" s="31"/>
      <c r="S25" s="277"/>
      <c r="T25" s="296"/>
      <c r="U25" s="296"/>
      <c r="V25" s="297"/>
      <c r="W25" s="297"/>
      <c r="X25" s="297"/>
      <c r="Y25" s="297"/>
      <c r="Z25" s="297"/>
      <c r="AA25" s="296"/>
    </row>
    <row r="26" spans="1:27" ht="15" customHeight="1">
      <c r="A26" s="28"/>
      <c r="B26" s="543"/>
      <c r="C26" s="349">
        <f>[24]Process!D118</f>
        <v>11.77</v>
      </c>
      <c r="D26" s="487"/>
      <c r="E26" s="488"/>
      <c r="F26" s="294"/>
      <c r="G26" s="294"/>
      <c r="H26" s="348"/>
      <c r="I26" s="33" t="s">
        <v>9</v>
      </c>
      <c r="J26" s="280"/>
      <c r="K26" s="284">
        <f>COUNTA([24]Brewhouse!$A$105:$A$140)</f>
        <v>36</v>
      </c>
      <c r="L26" s="302">
        <f>AVERAGE([24]Brewhouse!$AS$105:$AS$140)</f>
        <v>98.704290473770044</v>
      </c>
      <c r="M26" s="302">
        <f>AVERAGE([24]Brewhouse!$AS$15:$AS$64,[24]Brewhouse!$AS$66:$AS$103,[24]Brewhouse!$AS$105:$AS$140)</f>
        <v>96.705559909313564</v>
      </c>
      <c r="N26" s="30">
        <v>98</v>
      </c>
      <c r="O26" s="11"/>
      <c r="P26" s="31"/>
      <c r="S26" s="277"/>
      <c r="T26" s="296"/>
      <c r="U26" s="296"/>
      <c r="V26" s="297"/>
      <c r="W26" s="297"/>
      <c r="X26" s="297"/>
      <c r="Y26" s="297"/>
      <c r="Z26" s="297"/>
      <c r="AA26" s="296"/>
    </row>
    <row r="27" spans="1:27" ht="14.7" customHeight="1">
      <c r="A27" s="28"/>
      <c r="B27" s="543"/>
      <c r="C27" s="349">
        <f>[24]Process!D119</f>
        <v>11.8</v>
      </c>
      <c r="D27" s="485">
        <v>11.72</v>
      </c>
      <c r="E27" s="486"/>
      <c r="F27" s="294"/>
      <c r="G27" s="294"/>
      <c r="H27" s="348"/>
      <c r="I27" s="34" t="s">
        <v>12</v>
      </c>
      <c r="J27" s="280">
        <f>AVERAGE(I10:I13)</f>
        <v>96.520087636615344</v>
      </c>
      <c r="K27" s="284">
        <f>COUNTA([25]Brewhouse!$A$24:$A$35)</f>
        <v>12</v>
      </c>
      <c r="L27" s="302">
        <f>AVERAGE([25]Brewhouse!$AU$24:$AU$35)</f>
        <v>97.635747052668407</v>
      </c>
      <c r="M27" s="302">
        <f>AVERAGE([25]Brewhouse!$AU$4:$AU$7,[25]Brewhouse!$AU$9:$AU$22,[25]Brewhouse!$AU$24:$AU$35)</f>
        <v>96.785685113837701</v>
      </c>
      <c r="N27" s="30">
        <v>98</v>
      </c>
      <c r="O27" s="11"/>
      <c r="P27" s="31"/>
      <c r="S27" s="23"/>
      <c r="T27" s="1"/>
      <c r="U27" s="1"/>
      <c r="AA27" s="285"/>
    </row>
    <row r="28" spans="1:27" ht="14.7" customHeight="1">
      <c r="A28" s="28"/>
      <c r="B28" s="543"/>
      <c r="C28" s="349">
        <f>[24]Process!D120</f>
        <v>12</v>
      </c>
      <c r="D28" s="487"/>
      <c r="E28" s="488"/>
      <c r="F28" s="294"/>
      <c r="G28" s="294"/>
      <c r="H28" s="348"/>
      <c r="I28" s="22" t="s">
        <v>33</v>
      </c>
      <c r="J28" s="280"/>
      <c r="K28" s="284">
        <f>COUNTA([26]Brewhouse!$A$21:$A$24)</f>
        <v>4</v>
      </c>
      <c r="L28" s="302">
        <f>AVERAGE([26]Brewhouse!$AV$21:$AV$24)</f>
        <v>99.963723576245656</v>
      </c>
      <c r="M28" s="302">
        <f>AVERAGE([26]Brewhouse!$AV$5:$AV$14,[26]Brewhouse!$AV$16:$AV$19,[26]Brewhouse!$AV$21:$AV$24)</f>
        <v>98.616016873478046</v>
      </c>
      <c r="N28" s="30">
        <v>98</v>
      </c>
      <c r="O28" s="11"/>
      <c r="P28" s="31"/>
      <c r="S28" s="23"/>
      <c r="T28" s="1"/>
      <c r="U28" s="1"/>
      <c r="AA28" s="285"/>
    </row>
    <row r="29" spans="1:27" ht="14.7" customHeight="1">
      <c r="A29" s="28"/>
      <c r="B29" s="543"/>
      <c r="C29" s="349"/>
      <c r="D29" s="485"/>
      <c r="E29" s="486"/>
      <c r="F29" s="294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S29" s="23"/>
    </row>
    <row r="30" spans="1:27" ht="14.7" customHeight="1">
      <c r="A30" s="28"/>
      <c r="B30" s="543"/>
      <c r="C30" s="349"/>
      <c r="D30" s="487"/>
      <c r="E30" s="488"/>
      <c r="F30" s="294"/>
      <c r="G30" s="294"/>
      <c r="H30" s="348"/>
      <c r="I30" s="36" t="s">
        <v>15</v>
      </c>
      <c r="J30" s="323"/>
      <c r="K30" s="284"/>
      <c r="L30" s="302"/>
      <c r="M30" s="302">
        <f>AVERAGE([27]Brewhouse!$AT$4:$AT$11)</f>
        <v>94.812616598822359</v>
      </c>
      <c r="N30" s="30">
        <v>98</v>
      </c>
      <c r="O30" s="11"/>
      <c r="P30" s="31"/>
      <c r="S30" s="23"/>
    </row>
    <row r="31" spans="1:27" ht="14.7" customHeight="1">
      <c r="A31" s="28"/>
      <c r="B31" s="543"/>
      <c r="C31" s="349"/>
      <c r="D31" s="485"/>
      <c r="E31" s="486"/>
      <c r="F31" s="294"/>
      <c r="G31" s="294"/>
      <c r="H31" s="348"/>
      <c r="I31" s="37" t="s">
        <v>16</v>
      </c>
      <c r="J31" s="323"/>
      <c r="K31" s="284">
        <f>COUNTA([22]Brewhouse!$A$22:$A$29)</f>
        <v>8</v>
      </c>
      <c r="L31" s="302">
        <f>AVERAGE([22]Brewhouse!$AY$22:$AY$29)</f>
        <v>98.065834237903474</v>
      </c>
      <c r="M31" s="302">
        <f>AVERAGE([22]Brewhouse!$AY$6:$AY$13,[22]Brewhouse!$AY$15:$AY$20,[22]Brewhouse!$AY$22:$AY$29)</f>
        <v>95.660462473217876</v>
      </c>
      <c r="N31" s="30">
        <v>98</v>
      </c>
      <c r="O31" s="11"/>
      <c r="P31" s="31" t="s">
        <v>41</v>
      </c>
      <c r="S31" s="23"/>
      <c r="X31" s="275" t="s">
        <v>41</v>
      </c>
    </row>
    <row r="32" spans="1:27" ht="14.7" customHeight="1">
      <c r="A32" s="28"/>
      <c r="B32" s="543"/>
      <c r="C32" s="349"/>
      <c r="D32" s="487"/>
      <c r="E32" s="488"/>
      <c r="F32" s="294"/>
      <c r="G32" s="294"/>
      <c r="H32" s="348"/>
      <c r="I32" s="415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S32" s="23"/>
    </row>
    <row r="33" spans="1:57" ht="14.7" customHeight="1">
      <c r="A33" s="28"/>
      <c r="B33" s="543"/>
      <c r="C33" s="349"/>
      <c r="D33" s="485"/>
      <c r="E33" s="486"/>
      <c r="F33" s="294"/>
      <c r="G33" s="294"/>
      <c r="H33" s="348"/>
      <c r="I33" s="414" t="s">
        <v>157</v>
      </c>
      <c r="J33" s="326"/>
      <c r="K33" s="284"/>
      <c r="L33" s="305"/>
      <c r="M33" s="305"/>
      <c r="N33" s="30">
        <v>98</v>
      </c>
      <c r="O33" s="11"/>
      <c r="P33" s="31"/>
      <c r="S33" s="23"/>
    </row>
    <row r="34" spans="1:57" ht="15" customHeight="1" thickBot="1">
      <c r="A34" s="28"/>
      <c r="B34" s="543"/>
      <c r="C34" s="349"/>
      <c r="D34" s="487"/>
      <c r="E34" s="488"/>
      <c r="F34" s="294"/>
      <c r="G34" s="294"/>
      <c r="H34" s="348"/>
      <c r="I34" s="410" t="s">
        <v>156</v>
      </c>
      <c r="J34" s="327"/>
      <c r="K34" s="411"/>
      <c r="L34" s="412"/>
      <c r="M34" s="412"/>
      <c r="N34" s="413">
        <v>98</v>
      </c>
      <c r="O34" s="11"/>
      <c r="P34" s="31"/>
      <c r="S34" s="23"/>
    </row>
    <row r="35" spans="1:57" ht="15" customHeight="1" thickBot="1">
      <c r="A35" s="28"/>
      <c r="B35" s="543"/>
      <c r="C35" s="349"/>
      <c r="D35" s="485"/>
      <c r="E35" s="486"/>
      <c r="F35" s="294"/>
      <c r="G35" s="294"/>
      <c r="H35" s="348"/>
      <c r="I35" s="1"/>
      <c r="J35" s="39"/>
      <c r="K35" s="408">
        <f>SUM(K25:K34)</f>
        <v>145</v>
      </c>
      <c r="L35" s="409">
        <f>((L25*K25)+(L26*K26)+(L27*K27)+(L28*K28)+(L29*K29)+(K32*L32)+(L30*K30)+(L31*K31)+(L34*K34))/(K35)</f>
        <v>98.721769716093192</v>
      </c>
      <c r="M35" s="409">
        <f>AVERAGE('[29]Jan 31st'!$L$65,'[30]Feb 28th'!$L$35,L35)</f>
        <v>96.721582047830736</v>
      </c>
      <c r="N35" s="40">
        <v>98</v>
      </c>
      <c r="O35" s="11"/>
      <c r="P35" s="31"/>
      <c r="S35" s="23"/>
    </row>
    <row r="36" spans="1:57" ht="15" thickBot="1">
      <c r="B36" s="543"/>
      <c r="C36" s="350"/>
      <c r="D36" s="487"/>
      <c r="E36" s="488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S36" s="23"/>
    </row>
    <row r="37" spans="1:57" ht="15" thickBot="1">
      <c r="B37" s="551" t="str">
        <f>I25</f>
        <v>CARIB</v>
      </c>
      <c r="C37" s="362">
        <v>11.7</v>
      </c>
      <c r="D37" s="498">
        <v>11.66</v>
      </c>
      <c r="E37" s="499"/>
      <c r="F37" s="43"/>
      <c r="G37" s="41"/>
      <c r="H37" s="41"/>
      <c r="I37" s="42"/>
      <c r="J37" s="548" t="s">
        <v>129</v>
      </c>
      <c r="K37" s="548"/>
      <c r="L37" s="294"/>
      <c r="M37" s="294"/>
      <c r="N37" s="294"/>
      <c r="O37" s="294"/>
      <c r="P37" s="12"/>
      <c r="S37" s="23" t="s">
        <v>41</v>
      </c>
    </row>
    <row r="38" spans="1:57" ht="13.5" customHeight="1" thickBot="1">
      <c r="B38" s="496"/>
      <c r="C38" s="349">
        <v>11.73</v>
      </c>
      <c r="D38" s="500"/>
      <c r="E38" s="488"/>
      <c r="F38" s="43"/>
      <c r="G38" s="41"/>
      <c r="H38" s="41"/>
      <c r="I38" s="42"/>
      <c r="J38" s="292" t="s">
        <v>17</v>
      </c>
      <c r="K38" s="293" t="s">
        <v>147</v>
      </c>
      <c r="L38" s="502" t="s">
        <v>136</v>
      </c>
      <c r="M38" s="502"/>
      <c r="N38" s="503"/>
      <c r="O38" s="294"/>
      <c r="P38" s="12"/>
      <c r="S38" s="23"/>
    </row>
    <row r="39" spans="1:57" ht="15" customHeight="1" thickBot="1">
      <c r="B39" s="496"/>
      <c r="C39" s="349">
        <v>11.84</v>
      </c>
      <c r="D39" s="504">
        <v>11.66</v>
      </c>
      <c r="E39" s="486"/>
      <c r="F39" s="43"/>
      <c r="G39" s="41"/>
      <c r="H39" s="41"/>
      <c r="I39" s="42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  <c r="S39" s="23"/>
    </row>
    <row r="40" spans="1:57" ht="15.75" customHeight="1" thickBot="1">
      <c r="B40" s="496"/>
      <c r="C40" s="349">
        <v>11.77</v>
      </c>
      <c r="D40" s="500"/>
      <c r="E40" s="488"/>
      <c r="F40" s="43"/>
      <c r="G40" s="41"/>
      <c r="H40" s="41"/>
      <c r="I40" s="42"/>
      <c r="J40" s="345" t="s">
        <v>9</v>
      </c>
      <c r="K40" s="324"/>
      <c r="L40" s="344">
        <f>AVERAGE('Mar. 3rd'!K80,'Mar. 4th'!K81,'Mar. 5th '!K50,'Mar. 6th'!K50,'Mar. 7th &amp; 8th'!J52:K52,'Mar. 10th'!K49,'Mar. 11th'!K49,'Mar. 12th'!K47,'Mar. 13th'!K49,'Mar. 14th &amp; 16th'!J48,'Mar. 14th &amp; 16th'!K48,'Mar. 17th'!K48,'Mar. 18th'!K44,'Mar. 19th'!K45,'Mar. 20th'!K49,'Mar. 21th'!K44,'Mar. 24th'!K49,'Mar. 25th'!K49,'Mar. 26th '!K49,'Mar. 27th '!K49,'Mar. 28th '!K49,'Mar. 31st'!K49)</f>
        <v>6.3043478260869561</v>
      </c>
      <c r="M40" s="325">
        <f>AVERAGE('[29]Jan 29th '!$M$70,'[30]Feb 28th'!$L$40,L40)</f>
        <v>6.6051122790253229</v>
      </c>
      <c r="N40" s="400">
        <v>10</v>
      </c>
      <c r="O40" s="294"/>
      <c r="P40" s="12"/>
      <c r="S40" s="23"/>
    </row>
    <row r="41" spans="1:57" ht="15" customHeight="1">
      <c r="B41" s="496"/>
      <c r="C41" s="349">
        <v>11.61</v>
      </c>
      <c r="D41" s="504">
        <v>11.6</v>
      </c>
      <c r="E41" s="486"/>
      <c r="F41" s="43"/>
      <c r="G41" s="41"/>
      <c r="H41" s="41"/>
      <c r="I41" s="42"/>
      <c r="J41" s="288" t="s">
        <v>40</v>
      </c>
      <c r="K41" s="324">
        <v>5</v>
      </c>
      <c r="L41" s="294"/>
      <c r="M41" s="294"/>
      <c r="N41" s="294"/>
      <c r="O41" s="294"/>
      <c r="P41" s="12"/>
      <c r="S41" s="23"/>
    </row>
    <row r="42" spans="1:57" ht="15" customHeight="1">
      <c r="B42" s="496"/>
      <c r="C42" s="349">
        <v>11.66</v>
      </c>
      <c r="D42" s="500"/>
      <c r="E42" s="488"/>
      <c r="F42" s="43"/>
      <c r="G42" s="41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  <c r="S42" s="23"/>
    </row>
    <row r="43" spans="1:57" ht="14.4">
      <c r="B43" s="496"/>
      <c r="C43" s="349">
        <v>11.65</v>
      </c>
      <c r="D43" s="504">
        <v>11.66</v>
      </c>
      <c r="E43" s="486"/>
      <c r="F43" s="43"/>
      <c r="G43" s="41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S43" s="23"/>
      <c r="BD43" s="44"/>
      <c r="BE43" s="44"/>
    </row>
    <row r="44" spans="1:57" ht="14.4">
      <c r="B44" s="496"/>
      <c r="C44" s="349">
        <v>11.87</v>
      </c>
      <c r="D44" s="500"/>
      <c r="E44" s="488"/>
      <c r="F44" s="43"/>
      <c r="G44" s="41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S44" s="23"/>
      <c r="BD44" s="44"/>
      <c r="BE44" s="44"/>
    </row>
    <row r="45" spans="1:57" ht="14.4">
      <c r="B45" s="496"/>
      <c r="C45" s="349"/>
      <c r="D45" s="505"/>
      <c r="E45" s="490"/>
      <c r="F45" s="43"/>
      <c r="G45" s="41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S45" s="23"/>
      <c r="BD45" s="44"/>
      <c r="BE45" s="44"/>
    </row>
    <row r="46" spans="1:57" ht="15" thickBot="1">
      <c r="B46" s="497"/>
      <c r="C46" s="350"/>
      <c r="D46" s="506"/>
      <c r="E46" s="507"/>
      <c r="F46" s="43"/>
      <c r="G46" s="41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S46" s="23"/>
      <c r="BD46" s="44"/>
      <c r="BE46" s="44"/>
    </row>
    <row r="47" spans="1:57" ht="17.7" customHeight="1" thickBot="1">
      <c r="B47" s="312" t="s">
        <v>139</v>
      </c>
      <c r="C47" s="313"/>
      <c r="D47" s="508">
        <f>AVERAGE(D25:E46)</f>
        <v>11.683333333333335</v>
      </c>
      <c r="E47" s="509"/>
      <c r="F47" s="43"/>
      <c r="G47" s="41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S47" s="23"/>
      <c r="BD47" s="44"/>
      <c r="BE47" s="44"/>
    </row>
    <row r="48" spans="1:57" ht="17.7" customHeight="1">
      <c r="B48" s="363"/>
      <c r="C48" s="364"/>
      <c r="D48" s="365"/>
      <c r="E48" s="365"/>
      <c r="F48" s="43"/>
      <c r="G48" s="41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S48" s="23"/>
      <c r="BD48" s="44"/>
      <c r="BE48" s="44"/>
    </row>
    <row r="49" spans="2:58" ht="15.75" customHeight="1">
      <c r="B49" s="45"/>
      <c r="C49" s="11"/>
      <c r="D49" s="11"/>
      <c r="E49" s="46"/>
      <c r="F49" s="23"/>
      <c r="G49" s="11"/>
      <c r="H49" s="41"/>
      <c r="I49" s="42"/>
      <c r="J49" s="346" t="s">
        <v>130</v>
      </c>
      <c r="K49" s="324">
        <f>SUM(K39:K48)</f>
        <v>5</v>
      </c>
      <c r="L49" s="294"/>
      <c r="M49" s="294"/>
      <c r="N49" s="294"/>
      <c r="O49" s="294"/>
      <c r="P49" s="12"/>
    </row>
    <row r="50" spans="2:58" ht="20.25" customHeight="1">
      <c r="B50" s="15" t="s">
        <v>42</v>
      </c>
      <c r="C50" s="1" t="s">
        <v>43</v>
      </c>
      <c r="D50" s="1"/>
      <c r="E50" s="1"/>
      <c r="I50" s="42"/>
      <c r="L50" s="294"/>
      <c r="P50" s="334"/>
    </row>
    <row r="51" spans="2:58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  <c r="X51" s="275" t="s">
        <v>41</v>
      </c>
    </row>
    <row r="52" spans="2:58" ht="15" customHeight="1" thickBot="1">
      <c r="B52" s="510" t="s">
        <v>17</v>
      </c>
      <c r="C52" s="510" t="s">
        <v>44</v>
      </c>
      <c r="D52" s="512" t="s">
        <v>45</v>
      </c>
      <c r="E52" s="467" t="s">
        <v>46</v>
      </c>
      <c r="F52" s="527" t="s">
        <v>47</v>
      </c>
      <c r="G52" s="521" t="s">
        <v>48</v>
      </c>
      <c r="H52" s="510" t="s">
        <v>49</v>
      </c>
      <c r="I52" s="510" t="s">
        <v>50</v>
      </c>
      <c r="J52" s="515" t="s">
        <v>28</v>
      </c>
      <c r="K52" s="465" t="s">
        <v>51</v>
      </c>
      <c r="L52" s="477" t="s">
        <v>52</v>
      </c>
      <c r="M52" s="515" t="s">
        <v>53</v>
      </c>
      <c r="N52" s="77"/>
      <c r="O52" s="13"/>
      <c r="P52" s="50"/>
    </row>
    <row r="53" spans="2:58" ht="28.5" customHeight="1" thickTop="1" thickBot="1">
      <c r="B53" s="511"/>
      <c r="C53" s="511"/>
      <c r="D53" s="513"/>
      <c r="E53" s="514"/>
      <c r="F53" s="528"/>
      <c r="G53" s="522"/>
      <c r="H53" s="511"/>
      <c r="I53" s="511"/>
      <c r="J53" s="516"/>
      <c r="K53" s="525"/>
      <c r="L53" s="526"/>
      <c r="M53" s="516"/>
      <c r="N53" s="77"/>
      <c r="O53" s="13"/>
      <c r="P53" s="50"/>
      <c r="Q53" s="355"/>
      <c r="R53" s="355"/>
      <c r="S53" s="355"/>
      <c r="T53" s="355"/>
      <c r="U53" s="51">
        <v>43466</v>
      </c>
      <c r="V53" s="51">
        <v>43467</v>
      </c>
      <c r="W53" s="51">
        <v>43468</v>
      </c>
      <c r="X53" s="51">
        <v>43469</v>
      </c>
      <c r="Y53" s="51">
        <v>43470</v>
      </c>
      <c r="Z53" s="51">
        <v>43471</v>
      </c>
      <c r="AA53" s="51">
        <v>43472</v>
      </c>
      <c r="AB53" s="51">
        <v>43473</v>
      </c>
      <c r="AC53" s="51">
        <v>43474</v>
      </c>
      <c r="AD53" s="51">
        <v>43475</v>
      </c>
      <c r="AE53" s="51">
        <v>43476</v>
      </c>
      <c r="AF53" s="51">
        <v>43477</v>
      </c>
      <c r="AG53" s="51">
        <v>43478</v>
      </c>
      <c r="AH53" s="51">
        <v>43479</v>
      </c>
      <c r="AI53" s="51">
        <v>43480</v>
      </c>
      <c r="AJ53" s="51">
        <v>43481</v>
      </c>
      <c r="AK53" s="51">
        <v>43482</v>
      </c>
      <c r="AL53" s="51">
        <v>43483</v>
      </c>
      <c r="AM53" s="51">
        <v>43484</v>
      </c>
      <c r="AN53" s="51">
        <v>43485</v>
      </c>
      <c r="AO53" s="51">
        <v>43486</v>
      </c>
      <c r="AP53" s="51">
        <v>43487</v>
      </c>
      <c r="AQ53" s="51">
        <v>43488</v>
      </c>
      <c r="AR53" s="51">
        <v>43489</v>
      </c>
      <c r="AS53" s="51">
        <v>43490</v>
      </c>
      <c r="AT53" s="51">
        <v>43491</v>
      </c>
      <c r="AU53" s="51">
        <v>43492</v>
      </c>
      <c r="AV53" s="51">
        <v>43493</v>
      </c>
      <c r="AW53" s="51">
        <v>43494</v>
      </c>
      <c r="AX53" s="51">
        <v>43495</v>
      </c>
      <c r="AY53" s="51">
        <v>43496</v>
      </c>
    </row>
    <row r="54" spans="2:58" s="54" customFormat="1" ht="59.25" customHeight="1">
      <c r="B54" s="451" t="str">
        <f>B63</f>
        <v>STAG</v>
      </c>
      <c r="C54" s="283">
        <v>45747</v>
      </c>
      <c r="D54" s="377">
        <f>[31]March_2025!$AH$13</f>
        <v>213.5</v>
      </c>
      <c r="E54" s="378"/>
      <c r="F54" s="379"/>
      <c r="G54" s="303">
        <f>[31]March_2025!$AH$17</f>
        <v>186</v>
      </c>
      <c r="H54" s="320"/>
      <c r="I54" s="322"/>
      <c r="J54" s="360" t="s">
        <v>209</v>
      </c>
      <c r="K54" s="433">
        <f>[33]March_2025!$AH$25</f>
        <v>0.65263157894736845</v>
      </c>
      <c r="L54" s="314">
        <f>(((D54+E54)-G54)/(D54+E54))*100</f>
        <v>12.880562060889931</v>
      </c>
      <c r="M54" s="357" t="s">
        <v>167</v>
      </c>
      <c r="N54" s="13"/>
      <c r="O54" s="13"/>
      <c r="P54" s="50"/>
      <c r="T54" s="272" t="s">
        <v>54</v>
      </c>
      <c r="U54" s="279"/>
      <c r="V54" s="279"/>
      <c r="W54" s="279"/>
      <c r="X54" s="279"/>
      <c r="Y54" s="279"/>
      <c r="Z54" s="279"/>
      <c r="AA54" s="279"/>
      <c r="AB54" s="279"/>
      <c r="AC54" s="279"/>
      <c r="AD54" s="279"/>
      <c r="AE54" s="279"/>
      <c r="AF54" s="279"/>
      <c r="AG54" s="279"/>
      <c r="AH54" s="279"/>
      <c r="AI54" s="279"/>
      <c r="AJ54" s="279"/>
      <c r="AK54" s="279"/>
      <c r="AL54" s="279"/>
      <c r="AM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</row>
    <row r="55" spans="2:58" s="54" customFormat="1" ht="14.4" thickBot="1">
      <c r="B55" s="430"/>
      <c r="C55" s="283"/>
      <c r="D55" s="377"/>
      <c r="E55" s="378"/>
      <c r="F55" s="379"/>
      <c r="G55" s="303"/>
      <c r="H55" s="320"/>
      <c r="I55" s="322"/>
      <c r="J55" s="398"/>
      <c r="K55" s="286"/>
      <c r="L55" s="314"/>
      <c r="M55" s="357"/>
      <c r="N55" s="13"/>
      <c r="O55" s="13"/>
      <c r="P55" s="50"/>
      <c r="T55" s="272"/>
      <c r="U55" s="448"/>
      <c r="V55" s="448"/>
      <c r="W55" s="448"/>
      <c r="X55" s="448"/>
      <c r="Y55" s="448"/>
      <c r="Z55" s="448"/>
      <c r="AA55" s="448"/>
      <c r="AB55" s="448"/>
      <c r="AC55" s="448"/>
      <c r="AD55" s="448"/>
      <c r="AE55" s="448"/>
      <c r="AF55" s="448"/>
      <c r="AG55" s="448"/>
      <c r="AH55" s="448"/>
      <c r="AI55" s="448"/>
      <c r="AJ55" s="448"/>
      <c r="AK55" s="448"/>
      <c r="AL55" s="448"/>
      <c r="AM55" s="448"/>
      <c r="AN55" s="448"/>
      <c r="AO55" s="448"/>
      <c r="AP55" s="448"/>
      <c r="AQ55" s="448"/>
      <c r="AR55" s="448"/>
      <c r="AS55" s="448"/>
      <c r="AT55" s="448"/>
      <c r="AU55" s="448"/>
      <c r="AV55" s="448"/>
      <c r="AW55" s="448"/>
      <c r="AX55" s="448"/>
    </row>
    <row r="56" spans="2:58" s="54" customFormat="1" ht="59.25" customHeight="1">
      <c r="B56" s="430" t="str">
        <f>B62</f>
        <v>CARIB</v>
      </c>
      <c r="C56" s="283">
        <v>45747</v>
      </c>
      <c r="D56" s="377">
        <f>[31]March_2025!$AH$3</f>
        <v>403.5</v>
      </c>
      <c r="E56" s="378"/>
      <c r="F56" s="379"/>
      <c r="G56" s="303">
        <f>[31]March_2025!$AH$7</f>
        <v>386.20000000000005</v>
      </c>
      <c r="H56" s="320"/>
      <c r="I56" s="322"/>
      <c r="J56" s="360" t="s">
        <v>209</v>
      </c>
      <c r="K56" s="286">
        <f>[33]March_2025!$AH$18</f>
        <v>1.3550877192982458</v>
      </c>
      <c r="L56" s="391">
        <f>(((D56+E56)-G56)/(D56+E56))*100</f>
        <v>4.2874845105328259</v>
      </c>
      <c r="M56" s="357" t="s">
        <v>166</v>
      </c>
      <c r="N56" s="13"/>
      <c r="O56" s="13"/>
      <c r="P56" s="50"/>
      <c r="T56" s="272"/>
      <c r="U56" s="448"/>
      <c r="V56" s="448"/>
      <c r="W56" s="448"/>
      <c r="X56" s="448"/>
      <c r="Y56" s="448"/>
      <c r="Z56" s="448"/>
      <c r="AA56" s="448"/>
      <c r="AB56" s="448"/>
      <c r="AC56" s="448"/>
      <c r="AD56" s="448"/>
      <c r="AE56" s="448"/>
      <c r="AF56" s="448"/>
      <c r="AG56" s="448"/>
      <c r="AH56" s="448"/>
      <c r="AI56" s="448"/>
      <c r="AJ56" s="448"/>
      <c r="AK56" s="448"/>
      <c r="AL56" s="448"/>
      <c r="AM56" s="448"/>
      <c r="AN56" s="448"/>
      <c r="AO56" s="448"/>
      <c r="AP56" s="448"/>
      <c r="AQ56" s="448"/>
      <c r="AR56" s="448"/>
      <c r="AS56" s="448"/>
      <c r="AT56" s="448"/>
      <c r="AU56" s="448"/>
      <c r="AV56" s="448"/>
      <c r="AW56" s="448"/>
      <c r="AX56" s="448"/>
    </row>
    <row r="57" spans="2:58" s="54" customFormat="1" ht="14.4" thickBot="1">
      <c r="B57" s="387"/>
      <c r="C57" s="283"/>
      <c r="D57" s="279"/>
      <c r="E57" s="279"/>
      <c r="F57" s="279"/>
      <c r="G57" s="279"/>
      <c r="H57" s="320"/>
      <c r="I57" s="322"/>
      <c r="J57" s="281"/>
      <c r="K57" s="434"/>
      <c r="L57" s="314"/>
      <c r="M57" s="384"/>
      <c r="N57" s="13"/>
      <c r="O57" s="13"/>
      <c r="P57" s="50"/>
      <c r="T57" s="272" t="s">
        <v>51</v>
      </c>
      <c r="U57" s="57" t="e">
        <f>[20]January_2019!D8</f>
        <v>#DIV/0!</v>
      </c>
      <c r="V57" s="57">
        <f>[20]January_2019!E8</f>
        <v>1.0319298245614037</v>
      </c>
      <c r="W57" s="57">
        <f>[20]January_2019!F8</f>
        <v>1.7789473684210526</v>
      </c>
      <c r="X57" s="57">
        <f>[20]January_2019!G8</f>
        <v>0.51929824561403504</v>
      </c>
      <c r="Y57" s="57" t="e">
        <f>[20]January_2019!H8</f>
        <v>#DIV/0!</v>
      </c>
      <c r="Z57" s="57" t="e">
        <f>[20]January_2019!I8</f>
        <v>#DIV/0!</v>
      </c>
      <c r="AA57" s="57">
        <f>[20]January_2019!J8</f>
        <v>1.365263157894737</v>
      </c>
      <c r="AB57" s="57" t="e">
        <f>[20]January_2019!K8</f>
        <v>#DIV/0!</v>
      </c>
      <c r="AC57" s="57">
        <f>[20]January_2019!L8</f>
        <v>1.0028070175438597</v>
      </c>
      <c r="AD57" s="57">
        <f>[20]January_2019!M8</f>
        <v>1.7828070175438597</v>
      </c>
      <c r="AE57" s="57" t="e">
        <f>[20]January_2019!N8</f>
        <v>#DIV/0!</v>
      </c>
      <c r="AF57" s="57" t="e">
        <f>[20]January_2019!O8</f>
        <v>#DIV/0!</v>
      </c>
      <c r="AG57" s="57">
        <f>[20]January_2019!P8</f>
        <v>0.19222222222222221</v>
      </c>
      <c r="AH57" s="57">
        <f>[20]January_2019!Q8</f>
        <v>0.52219298245614032</v>
      </c>
      <c r="AI57" s="57">
        <f>[20]January_2019!R8</f>
        <v>0.42912280701754385</v>
      </c>
      <c r="AJ57" s="57" t="e">
        <f>[20]January_2019!S8</f>
        <v>#DIV/0!</v>
      </c>
      <c r="AK57" s="57">
        <f>[20]January_2019!T8</f>
        <v>1.0340350877192983</v>
      </c>
      <c r="AL57" s="57">
        <f>[20]January_2019!U8</f>
        <v>0.98421052631578942</v>
      </c>
      <c r="AM57" s="57" t="e">
        <f>[20]January_2019!V8</f>
        <v>#DIV/0!</v>
      </c>
      <c r="AN57" s="57" t="e">
        <f>[20]January_2019!W8</f>
        <v>#DIV/0!</v>
      </c>
      <c r="AO57" s="57">
        <f>[20]January_2019!X8</f>
        <v>0.66052631578947374</v>
      </c>
      <c r="AP57" s="57">
        <f>[20]January_2019!Y8</f>
        <v>1.0375438596491227</v>
      </c>
      <c r="AQ57" s="57">
        <f>[20]January_2019!Z8</f>
        <v>0.90456140350877201</v>
      </c>
      <c r="AR57" s="57">
        <f>[20]January_2019!AA8</f>
        <v>1.0217543859649123</v>
      </c>
      <c r="AS57" s="57">
        <f>[20]January_2019!AB8</f>
        <v>0.65614035087719302</v>
      </c>
      <c r="AT57" s="57" t="e">
        <f>[20]January_2019!AC8</f>
        <v>#DIV/0!</v>
      </c>
      <c r="AU57" s="57" t="e">
        <f>[20]January_2019!AD8</f>
        <v>#DIV/0!</v>
      </c>
      <c r="AV57" s="57">
        <f>[20]January_2019!AE8</f>
        <v>1.7021052631578948</v>
      </c>
      <c r="AW57" s="57">
        <f>[20]January_2019!AF8</f>
        <v>0.60192982456140354</v>
      </c>
      <c r="AX57" s="57">
        <f>[20]January_2019!AG8</f>
        <v>1.4870175438596491</v>
      </c>
      <c r="AY57" s="277" t="e">
        <f>[20]January_2019!AH8</f>
        <v>#DIV/0!</v>
      </c>
      <c r="AZ57" s="277"/>
      <c r="BA57" s="277"/>
      <c r="BB57" s="277"/>
      <c r="BC57" s="277"/>
      <c r="BD57" s="277"/>
      <c r="BE57" s="277"/>
      <c r="BF57" s="277"/>
    </row>
    <row r="58" spans="2:58" ht="58.5" hidden="1" customHeight="1" thickBot="1">
      <c r="B58" s="449"/>
      <c r="C58" s="283"/>
      <c r="D58" s="279"/>
      <c r="E58" s="279"/>
      <c r="F58" s="279"/>
      <c r="G58" s="279"/>
      <c r="H58" s="320"/>
      <c r="I58" s="322"/>
      <c r="J58" s="390"/>
      <c r="K58" s="52"/>
      <c r="L58" s="314"/>
      <c r="M58" s="357"/>
      <c r="N58" s="77"/>
      <c r="O58" s="13"/>
      <c r="P58" s="56"/>
    </row>
    <row r="59" spans="2:58" ht="18" customHeight="1" thickBot="1">
      <c r="B59" s="58"/>
      <c r="C59" s="309"/>
      <c r="D59" s="58"/>
      <c r="E59" s="58"/>
      <c r="F59" s="58"/>
      <c r="G59" s="58"/>
      <c r="H59" s="58"/>
      <c r="I59" s="58"/>
      <c r="J59" s="59"/>
      <c r="K59" s="58"/>
      <c r="L59" s="58"/>
      <c r="M59" s="58"/>
      <c r="N59" s="59"/>
      <c r="O59" s="56"/>
      <c r="P59" s="60"/>
    </row>
    <row r="60" spans="2:58" ht="14.4" thickBot="1">
      <c r="B60" s="517" t="s">
        <v>55</v>
      </c>
      <c r="C60" s="518"/>
      <c r="D60" s="518"/>
      <c r="E60" s="518"/>
      <c r="F60" s="519"/>
      <c r="G60" s="517" t="s">
        <v>56</v>
      </c>
      <c r="H60" s="518"/>
      <c r="I60" s="518"/>
      <c r="J60" s="519"/>
      <c r="K60" s="517" t="s">
        <v>51</v>
      </c>
      <c r="L60" s="518"/>
      <c r="M60" s="518"/>
      <c r="N60" s="520"/>
      <c r="O60" s="56"/>
      <c r="P60" s="50"/>
    </row>
    <row r="61" spans="2:58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8">
      <c r="B62" s="29" t="s">
        <v>6</v>
      </c>
      <c r="C62" s="65">
        <f>L56</f>
        <v>4.2874845105328259</v>
      </c>
      <c r="D62" s="76">
        <v>7.501429586373014</v>
      </c>
      <c r="E62" s="76">
        <v>7.1765183672014174</v>
      </c>
      <c r="F62" s="66">
        <v>4.8</v>
      </c>
      <c r="G62" s="65">
        <f>[31]March_2025!$AH$11</f>
        <v>4.6778291903430329</v>
      </c>
      <c r="H62" s="76">
        <v>8.3149138297469687</v>
      </c>
      <c r="I62" s="76">
        <v>7.755067532137339</v>
      </c>
      <c r="J62" s="66">
        <v>4.8</v>
      </c>
      <c r="K62" s="67">
        <f>K56</f>
        <v>1.3550877192982458</v>
      </c>
      <c r="L62" s="194">
        <v>0.66893633221568671</v>
      </c>
      <c r="M62" s="194">
        <v>0.77968155451799681</v>
      </c>
      <c r="N62" s="68">
        <v>1</v>
      </c>
      <c r="O62" s="56"/>
      <c r="P62" s="69"/>
    </row>
    <row r="63" spans="2:58">
      <c r="B63" s="33" t="s">
        <v>9</v>
      </c>
      <c r="C63" s="65">
        <f>L54</f>
        <v>12.880562060889931</v>
      </c>
      <c r="D63" s="76">
        <v>8.3101182654402397</v>
      </c>
      <c r="E63" s="76">
        <v>7.3098189687373392</v>
      </c>
      <c r="F63" s="66">
        <v>4.8</v>
      </c>
      <c r="G63" s="65">
        <f>[31]March_2025!$AH$21</f>
        <v>13.444441918100992</v>
      </c>
      <c r="H63" s="76">
        <v>9.1320577626601764</v>
      </c>
      <c r="I63" s="76">
        <v>7.6622154861695657</v>
      </c>
      <c r="J63" s="66">
        <v>4.8</v>
      </c>
      <c r="K63" s="67">
        <f>K54</f>
        <v>0.65263157894736845</v>
      </c>
      <c r="L63" s="194">
        <v>0.73355232285312055</v>
      </c>
      <c r="M63" s="194">
        <v>0.71734920760465315</v>
      </c>
      <c r="N63" s="68">
        <v>1</v>
      </c>
      <c r="P63" s="69"/>
    </row>
    <row r="64" spans="2:58">
      <c r="B64" s="34" t="s">
        <v>40</v>
      </c>
      <c r="C64" s="65"/>
      <c r="D64" s="76">
        <v>10.311344019728741</v>
      </c>
      <c r="E64" s="76">
        <v>12.42603550295857</v>
      </c>
      <c r="F64" s="66">
        <v>5.5</v>
      </c>
      <c r="G64" s="65"/>
      <c r="H64" s="76">
        <v>12.668687929841122</v>
      </c>
      <c r="I64" s="76">
        <v>14.436247754556394</v>
      </c>
      <c r="J64" s="66">
        <v>5.5</v>
      </c>
      <c r="K64" s="67"/>
      <c r="L64" s="194">
        <v>0.54249999999999998</v>
      </c>
      <c r="M64" s="194">
        <v>0.52401498127340829</v>
      </c>
      <c r="N64" s="68">
        <v>1</v>
      </c>
      <c r="P64" s="69"/>
    </row>
    <row r="65" spans="2:16">
      <c r="B65" s="22" t="s">
        <v>33</v>
      </c>
      <c r="C65" s="65"/>
      <c r="D65" s="76">
        <v>10.078662733529978</v>
      </c>
      <c r="E65" s="76">
        <v>5.3032814053695727</v>
      </c>
      <c r="F65" s="66">
        <v>3.3</v>
      </c>
      <c r="G65" s="65"/>
      <c r="H65" s="76">
        <v>9.2204897908965187</v>
      </c>
      <c r="I65" s="76">
        <v>6.209437755460022</v>
      </c>
      <c r="J65" s="66">
        <v>3.3</v>
      </c>
      <c r="K65" s="67"/>
      <c r="L65" s="194">
        <v>0.6417543859649123</v>
      </c>
      <c r="M65" s="194">
        <v>0.75184210526315787</v>
      </c>
      <c r="N65" s="68">
        <v>1</v>
      </c>
      <c r="P65" s="69"/>
    </row>
    <row r="66" spans="2:16">
      <c r="B66" s="35" t="s">
        <v>29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L66" s="194"/>
      <c r="M66" s="194"/>
      <c r="N66" s="68">
        <v>1</v>
      </c>
      <c r="P66" s="69"/>
    </row>
    <row r="67" spans="2:16">
      <c r="B67" s="36" t="s">
        <v>15</v>
      </c>
      <c r="C67" s="282"/>
      <c r="D67" s="76"/>
      <c r="E67" s="76">
        <v>8.7664670658682695</v>
      </c>
      <c r="F67" s="70">
        <f>[21]May_2022!$M$43</f>
        <v>3.4878406700073312</v>
      </c>
      <c r="G67" s="282"/>
      <c r="H67" s="76"/>
      <c r="I67" s="76">
        <v>10.607235567685406</v>
      </c>
      <c r="J67" s="66">
        <v>5.5</v>
      </c>
      <c r="K67" s="67"/>
      <c r="L67" s="194"/>
      <c r="M67" s="194">
        <v>0.66824561403508764</v>
      </c>
      <c r="N67" s="68">
        <v>1</v>
      </c>
      <c r="P67" s="69"/>
    </row>
    <row r="68" spans="2:16">
      <c r="B68" s="37" t="s">
        <v>16</v>
      </c>
      <c r="C68" s="65"/>
      <c r="D68" s="76">
        <v>3.0622243998040313</v>
      </c>
      <c r="E68" s="76">
        <v>2.5618217399039276</v>
      </c>
      <c r="F68" s="66">
        <v>3.3</v>
      </c>
      <c r="G68" s="282"/>
      <c r="H68" s="76">
        <v>4.90230047253743</v>
      </c>
      <c r="I68" s="76">
        <v>4.6996399261015078</v>
      </c>
      <c r="J68" s="66">
        <v>3.3</v>
      </c>
      <c r="K68" s="67"/>
      <c r="L68" s="194">
        <v>0.98924999999999996</v>
      </c>
      <c r="M68" s="194">
        <v>0.86251968503937015</v>
      </c>
      <c r="N68" s="71">
        <v>1</v>
      </c>
      <c r="P68" s="69"/>
    </row>
    <row r="69" spans="2:16" ht="14.4" thickBot="1">
      <c r="B69" s="38" t="s">
        <v>127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4.4" thickBot="1">
      <c r="B70" s="437" t="s">
        <v>165</v>
      </c>
      <c r="C70" s="65"/>
      <c r="D70" s="76"/>
      <c r="E70" s="76">
        <v>4.8792508624938291</v>
      </c>
      <c r="F70" s="66">
        <v>4.8</v>
      </c>
      <c r="G70" s="282"/>
      <c r="H70" s="76"/>
      <c r="I70" s="76">
        <v>6.2003723782925313</v>
      </c>
      <c r="J70" s="66">
        <v>4.8</v>
      </c>
      <c r="K70" s="67"/>
      <c r="L70" s="194"/>
      <c r="M70" s="194">
        <v>0.33859649122807017</v>
      </c>
      <c r="N70" s="71">
        <v>1</v>
      </c>
      <c r="O70" s="74"/>
      <c r="P70" s="75"/>
    </row>
    <row r="71" spans="2:16">
      <c r="D71" s="76">
        <v>7.7893462436116403</v>
      </c>
      <c r="E71" s="76">
        <v>7.3212989562852382</v>
      </c>
      <c r="F71" s="341">
        <v>4.5</v>
      </c>
      <c r="H71" s="76">
        <v>8.8323372415652379</v>
      </c>
      <c r="I71" s="76">
        <v>8.2260188524748212</v>
      </c>
      <c r="J71" s="341">
        <v>4.5</v>
      </c>
      <c r="K71" s="67"/>
      <c r="L71" s="194">
        <v>0.69371494893221897</v>
      </c>
      <c r="M71" s="194">
        <v>0.73297341057635168</v>
      </c>
      <c r="N71" s="386">
        <v>1</v>
      </c>
    </row>
    <row r="75" spans="2:16">
      <c r="F75" s="315"/>
    </row>
    <row r="83" spans="30:30">
      <c r="AD83" s="275" t="s">
        <v>57</v>
      </c>
    </row>
  </sheetData>
  <mergeCells count="52">
    <mergeCell ref="L52:L53"/>
    <mergeCell ref="M52:M53"/>
    <mergeCell ref="B60:F60"/>
    <mergeCell ref="G60:J60"/>
    <mergeCell ref="K60:N60"/>
    <mergeCell ref="J52:J53"/>
    <mergeCell ref="K52:K53"/>
    <mergeCell ref="B37:B46"/>
    <mergeCell ref="F52:F53"/>
    <mergeCell ref="G52:G53"/>
    <mergeCell ref="H52:H53"/>
    <mergeCell ref="I52:I53"/>
    <mergeCell ref="D43:E44"/>
    <mergeCell ref="D45:E46"/>
    <mergeCell ref="D47:E47"/>
    <mergeCell ref="B52:B53"/>
    <mergeCell ref="C52:C53"/>
    <mergeCell ref="D52:D53"/>
    <mergeCell ref="E52:E53"/>
    <mergeCell ref="D37:E38"/>
    <mergeCell ref="J37:K37"/>
    <mergeCell ref="L38:N38"/>
    <mergeCell ref="D39:E40"/>
    <mergeCell ref="D41:E42"/>
    <mergeCell ref="Q8:Q9"/>
    <mergeCell ref="I23:N23"/>
    <mergeCell ref="D24:E24"/>
    <mergeCell ref="I8:I9"/>
    <mergeCell ref="J8:J9"/>
    <mergeCell ref="K8:K9"/>
    <mergeCell ref="L8:L9"/>
    <mergeCell ref="O8:O9"/>
    <mergeCell ref="P8:P9"/>
    <mergeCell ref="H8:H9"/>
    <mergeCell ref="B25:B36"/>
    <mergeCell ref="D25:E26"/>
    <mergeCell ref="D27:E28"/>
    <mergeCell ref="D29:E30"/>
    <mergeCell ref="D31:E32"/>
    <mergeCell ref="D33:E34"/>
    <mergeCell ref="D35:E36"/>
    <mergeCell ref="C5:D5"/>
    <mergeCell ref="B8:B9"/>
    <mergeCell ref="C8:C9"/>
    <mergeCell ref="D8:D9"/>
    <mergeCell ref="G8:G9"/>
    <mergeCell ref="M4:N4"/>
    <mergeCell ref="T1:U1"/>
    <mergeCell ref="V1:W1"/>
    <mergeCell ref="X1:Y1"/>
    <mergeCell ref="Z1:AA1"/>
    <mergeCell ref="B2:O2"/>
  </mergeCells>
  <conditionalFormatting sqref="B47:B48">
    <cfRule type="cellIs" dxfId="140" priority="113" operator="notBetween">
      <formula>#REF!</formula>
      <formula>#REF!</formula>
    </cfRule>
  </conditionalFormatting>
  <conditionalFormatting sqref="C51">
    <cfRule type="cellIs" dxfId="139" priority="144" stopIfTrue="1" operator="lessThan">
      <formula>96</formula>
    </cfRule>
    <cfRule type="cellIs" dxfId="138" priority="145" stopIfTrue="1" operator="greaterThan">
      <formula>100</formula>
    </cfRule>
  </conditionalFormatting>
  <conditionalFormatting sqref="C62">
    <cfRule type="cellIs" dxfId="137" priority="68" stopIfTrue="1" operator="greaterThan">
      <formula>$F62</formula>
    </cfRule>
  </conditionalFormatting>
  <conditionalFormatting sqref="C62:C63">
    <cfRule type="cellIs" dxfId="136" priority="69" stopIfTrue="1" operator="lessThanOrEqual">
      <formula>0</formula>
    </cfRule>
  </conditionalFormatting>
  <conditionalFormatting sqref="C63">
    <cfRule type="cellIs" dxfId="135" priority="148" stopIfTrue="1" operator="greaterThan">
      <formula>$F62</formula>
    </cfRule>
  </conditionalFormatting>
  <conditionalFormatting sqref="C64:C66">
    <cfRule type="cellIs" dxfId="134" priority="93" stopIfTrue="1" operator="greaterThan">
      <formula>$F64</formula>
    </cfRule>
  </conditionalFormatting>
  <conditionalFormatting sqref="C64:C67">
    <cfRule type="cellIs" dxfId="133" priority="97" stopIfTrue="1" operator="lessThanOrEqual">
      <formula>0</formula>
    </cfRule>
  </conditionalFormatting>
  <conditionalFormatting sqref="C67">
    <cfRule type="cellIs" dxfId="132" priority="96" stopIfTrue="1" operator="greaterThan">
      <formula>$J67</formula>
    </cfRule>
  </conditionalFormatting>
  <conditionalFormatting sqref="C73:C77">
    <cfRule type="cellIs" dxfId="131" priority="136" stopIfTrue="1" operator="lessThanOrEqual">
      <formula>0</formula>
    </cfRule>
  </conditionalFormatting>
  <conditionalFormatting sqref="C74:C77">
    <cfRule type="cellIs" dxfId="130" priority="135" stopIfTrue="1" operator="greaterThan">
      <formula>$F$73</formula>
    </cfRule>
  </conditionalFormatting>
  <conditionalFormatting sqref="C79">
    <cfRule type="cellIs" dxfId="129" priority="138" stopIfTrue="1" operator="lessThanOrEqual">
      <formula>0</formula>
    </cfRule>
    <cfRule type="cellIs" dxfId="128" priority="137" stopIfTrue="1" operator="greaterThan">
      <formula>$F$73</formula>
    </cfRule>
  </conditionalFormatting>
  <conditionalFormatting sqref="C73:D73 D75:D81">
    <cfRule type="cellIs" dxfId="127" priority="130" stopIfTrue="1" operator="greaterThan">
      <formula>4.5</formula>
    </cfRule>
  </conditionalFormatting>
  <conditionalFormatting sqref="D47:D48">
    <cfRule type="cellIs" dxfId="126" priority="114" operator="notBetween">
      <formula>#REF!</formula>
      <formula>#REF!</formula>
    </cfRule>
  </conditionalFormatting>
  <conditionalFormatting sqref="D62:D69">
    <cfRule type="cellIs" dxfId="125" priority="107" stopIfTrue="1" operator="lessThanOrEqual">
      <formula>0</formula>
    </cfRule>
  </conditionalFormatting>
  <conditionalFormatting sqref="D70">
    <cfRule type="cellIs" dxfId="124" priority="106" stopIfTrue="1" operator="lessThanOrEqual">
      <formula>0</formula>
    </cfRule>
  </conditionalFormatting>
  <conditionalFormatting sqref="D73 D75:D81">
    <cfRule type="cellIs" dxfId="123" priority="131" stopIfTrue="1" operator="lessThanOrEqual">
      <formula>0</formula>
    </cfRule>
  </conditionalFormatting>
  <conditionalFormatting sqref="D74">
    <cfRule type="cellIs" dxfId="122" priority="122" stopIfTrue="1" operator="greaterThan">
      <formula>$F$73</formula>
    </cfRule>
    <cfRule type="cellIs" dxfId="121" priority="123" stopIfTrue="1" operator="lessThanOrEqual">
      <formula>0</formula>
    </cfRule>
  </conditionalFormatting>
  <conditionalFormatting sqref="D62:E71">
    <cfRule type="cellIs" dxfId="120" priority="65" stopIfTrue="1" operator="greaterThan">
      <formula>$F62</formula>
    </cfRule>
  </conditionalFormatting>
  <conditionalFormatting sqref="D71:E71">
    <cfRule type="cellIs" dxfId="119" priority="66" stopIfTrue="1" operator="lessThanOrEqual">
      <formula>0</formula>
    </cfRule>
  </conditionalFormatting>
  <conditionalFormatting sqref="E10:E22">
    <cfRule type="cellIs" dxfId="118" priority="8" operator="lessThan">
      <formula>48</formula>
    </cfRule>
  </conditionalFormatting>
  <conditionalFormatting sqref="E51">
    <cfRule type="cellIs" dxfId="117" priority="124" stopIfTrue="1" operator="lessThan">
      <formula>96.8</formula>
    </cfRule>
    <cfRule type="cellIs" dxfId="116" priority="125" stopIfTrue="1" operator="greaterThan">
      <formula>100</formula>
    </cfRule>
  </conditionalFormatting>
  <conditionalFormatting sqref="E62:E70">
    <cfRule type="cellIs" dxfId="115" priority="101" stopIfTrue="1" operator="lessThanOrEqual">
      <formula>0</formula>
    </cfRule>
  </conditionalFormatting>
  <conditionalFormatting sqref="E73:E81">
    <cfRule type="cellIs" dxfId="114" priority="117" stopIfTrue="1" operator="lessThanOrEqual">
      <formula>0</formula>
    </cfRule>
    <cfRule type="cellIs" dxfId="113" priority="116" stopIfTrue="1" operator="greaterThan">
      <formula>4.5</formula>
    </cfRule>
  </conditionalFormatting>
  <conditionalFormatting sqref="E50:F51">
    <cfRule type="cellIs" dxfId="112" priority="126" stopIfTrue="1" operator="lessThan">
      <formula>96.5</formula>
    </cfRule>
    <cfRule type="cellIs" dxfId="111" priority="127" stopIfTrue="1" operator="greaterThan">
      <formula>100</formula>
    </cfRule>
  </conditionalFormatting>
  <conditionalFormatting sqref="F10:F21">
    <cfRule type="cellIs" dxfId="110" priority="10" operator="greaterThan">
      <formula>60</formula>
    </cfRule>
  </conditionalFormatting>
  <conditionalFormatting sqref="F22">
    <cfRule type="cellIs" dxfId="109" priority="151" operator="greaterThan">
      <formula>$AA22</formula>
    </cfRule>
    <cfRule type="cellIs" dxfId="108" priority="152" operator="greaterThan">
      <formula>$AA59</formula>
    </cfRule>
  </conditionalFormatting>
  <conditionalFormatting sqref="F51">
    <cfRule type="cellIs" dxfId="107" priority="143" stopIfTrue="1" operator="greaterThan">
      <formula>100</formula>
    </cfRule>
    <cfRule type="cellIs" dxfId="106" priority="142" stopIfTrue="1" operator="lessThan">
      <formula>96.8</formula>
    </cfRule>
  </conditionalFormatting>
  <conditionalFormatting sqref="F71">
    <cfRule type="cellIs" dxfId="105" priority="103" stopIfTrue="1" operator="lessThanOrEqual">
      <formula>0</formula>
    </cfRule>
    <cfRule type="cellIs" dxfId="104" priority="102" stopIfTrue="1" operator="greaterThan">
      <formula>$F71</formula>
    </cfRule>
  </conditionalFormatting>
  <conditionalFormatting sqref="G62:G63 C68:C70">
    <cfRule type="cellIs" dxfId="103" priority="109" stopIfTrue="1" operator="lessThanOrEqual">
      <formula>0</formula>
    </cfRule>
    <cfRule type="cellIs" dxfId="102" priority="108" stopIfTrue="1" operator="greaterThan">
      <formula>$F62</formula>
    </cfRule>
  </conditionalFormatting>
  <conditionalFormatting sqref="G62:G63">
    <cfRule type="cellIs" dxfId="101" priority="74" stopIfTrue="1" operator="greaterThan">
      <formula>$F62</formula>
    </cfRule>
    <cfRule type="cellIs" dxfId="100" priority="75" stopIfTrue="1" operator="lessThanOrEqual">
      <formula>0</formula>
    </cfRule>
  </conditionalFormatting>
  <conditionalFormatting sqref="G64">
    <cfRule type="cellIs" dxfId="99" priority="147" stopIfTrue="1" operator="lessThanOrEqual">
      <formula>0</formula>
    </cfRule>
    <cfRule type="cellIs" dxfId="98" priority="146" stopIfTrue="1" operator="greaterThan">
      <formula>$F63</formula>
    </cfRule>
  </conditionalFormatting>
  <conditionalFormatting sqref="G65">
    <cfRule type="cellIs" dxfId="97" priority="105" stopIfTrue="1" operator="lessThanOrEqual">
      <formula>0</formula>
    </cfRule>
    <cfRule type="cellIs" dxfId="96" priority="104" stopIfTrue="1" operator="greaterThan">
      <formula>$F65</formula>
    </cfRule>
  </conditionalFormatting>
  <conditionalFormatting sqref="G66:G70">
    <cfRule type="cellIs" dxfId="95" priority="110" stopIfTrue="1" operator="greaterThan">
      <formula>$J66</formula>
    </cfRule>
    <cfRule type="cellIs" dxfId="94" priority="111" stopIfTrue="1" operator="lessThanOrEqual">
      <formula>0</formula>
    </cfRule>
  </conditionalFormatting>
  <conditionalFormatting sqref="G75:G80 C78 C80">
    <cfRule type="cellIs" dxfId="93" priority="140" stopIfTrue="1" operator="lessThanOrEqual">
      <formula>0</formula>
    </cfRule>
    <cfRule type="cellIs" dxfId="92" priority="139" stopIfTrue="1" operator="greaterThan">
      <formula>4.5</formula>
    </cfRule>
  </conditionalFormatting>
  <conditionalFormatting sqref="G10:H22">
    <cfRule type="expression" dxfId="91" priority="1">
      <formula>IF(+(IF(G10&lt;#REF!,0,IF(G10&gt;#REF!,0,1)))=0,1)</formula>
    </cfRule>
  </conditionalFormatting>
  <conditionalFormatting sqref="G74:H74">
    <cfRule type="cellIs" dxfId="90" priority="121" stopIfTrue="1" operator="lessThanOrEqual">
      <formula>0</formula>
    </cfRule>
    <cfRule type="cellIs" dxfId="89" priority="120" stopIfTrue="1" operator="greaterThan">
      <formula>$F$73</formula>
    </cfRule>
  </conditionalFormatting>
  <conditionalFormatting sqref="H36:H49 G37:G48">
    <cfRule type="cellIs" dxfId="88" priority="118" stopIfTrue="1" operator="greaterThan">
      <formula>0</formula>
    </cfRule>
  </conditionalFormatting>
  <conditionalFormatting sqref="H54:H56">
    <cfRule type="cellIs" dxfId="87" priority="50" stopIfTrue="1" operator="lessThanOrEqual">
      <formula>0</formula>
    </cfRule>
    <cfRule type="cellIs" dxfId="86" priority="39" stopIfTrue="1" operator="greaterThan">
      <formula>$F$35</formula>
    </cfRule>
    <cfRule type="cellIs" dxfId="85" priority="38" stopIfTrue="1" operator="lessThanOrEqual">
      <formula>0</formula>
    </cfRule>
    <cfRule type="cellIs" dxfId="84" priority="47" stopIfTrue="1" operator="greaterThan">
      <formula>$F$38</formula>
    </cfRule>
    <cfRule type="cellIs" dxfId="83" priority="48" stopIfTrue="1" operator="lessThanOrEqual">
      <formula>0</formula>
    </cfRule>
    <cfRule type="cellIs" dxfId="82" priority="49" stopIfTrue="1" operator="greaterThan">
      <formula>$F$36</formula>
    </cfRule>
  </conditionalFormatting>
  <conditionalFormatting sqref="H57">
    <cfRule type="cellIs" dxfId="81" priority="92" stopIfTrue="1" operator="lessThanOrEqual">
      <formula>0</formula>
    </cfRule>
    <cfRule type="cellIs" dxfId="80" priority="91" stopIfTrue="1" operator="greaterThan">
      <formula>$F$62</formula>
    </cfRule>
    <cfRule type="cellIs" dxfId="79" priority="90" stopIfTrue="1" operator="lessThanOrEqual">
      <formula>0</formula>
    </cfRule>
    <cfRule type="cellIs" dxfId="78" priority="89" stopIfTrue="1" operator="greaterThan">
      <formula>$F$64</formula>
    </cfRule>
    <cfRule type="cellIs" dxfId="77" priority="81" stopIfTrue="1" operator="greaterThan">
      <formula>$F$61</formula>
    </cfRule>
    <cfRule type="cellIs" dxfId="76" priority="80" stopIfTrue="1" operator="lessThanOrEqual">
      <formula>0</formula>
    </cfRule>
  </conditionalFormatting>
  <conditionalFormatting sqref="H58">
    <cfRule type="cellIs" dxfId="75" priority="35" stopIfTrue="1" operator="greaterThan">
      <formula>$F$36</formula>
    </cfRule>
    <cfRule type="cellIs" dxfId="74" priority="34" stopIfTrue="1" operator="lessThanOrEqual">
      <formula>0</formula>
    </cfRule>
    <cfRule type="cellIs" dxfId="73" priority="33" stopIfTrue="1" operator="greaterThan">
      <formula>$F$38</formula>
    </cfRule>
    <cfRule type="cellIs" dxfId="72" priority="36" stopIfTrue="1" operator="lessThanOrEqual">
      <formula>0</formula>
    </cfRule>
    <cfRule type="cellIs" dxfId="71" priority="25" stopIfTrue="1" operator="greaterThan">
      <formula>$F$35</formula>
    </cfRule>
    <cfRule type="cellIs" dxfId="70" priority="24" stopIfTrue="1" operator="lessThanOrEqual">
      <formula>0</formula>
    </cfRule>
  </conditionalFormatting>
  <conditionalFormatting sqref="H62:H69">
    <cfRule type="cellIs" dxfId="69" priority="94" stopIfTrue="1" operator="greaterThan">
      <formula>$J62</formula>
    </cfRule>
    <cfRule type="cellIs" dxfId="68" priority="95" stopIfTrue="1" operator="lessThanOrEqual">
      <formula>0</formula>
    </cfRule>
  </conditionalFormatting>
  <conditionalFormatting sqref="H70">
    <cfRule type="cellIs" dxfId="67" priority="98" operator="greaterThan">
      <formula>5.3</formula>
    </cfRule>
  </conditionalFormatting>
  <conditionalFormatting sqref="H73 H75:H81">
    <cfRule type="cellIs" dxfId="66" priority="132" stopIfTrue="1" operator="greaterThan">
      <formula>4.5</formula>
    </cfRule>
    <cfRule type="cellIs" dxfId="65" priority="133" stopIfTrue="1" operator="lessThanOrEqual">
      <formula>0</formula>
    </cfRule>
  </conditionalFormatting>
  <conditionalFormatting sqref="H54:I56">
    <cfRule type="cellIs" dxfId="64" priority="40" stopIfTrue="1" operator="lessThanOrEqual">
      <formula>0</formula>
    </cfRule>
    <cfRule type="cellIs" dxfId="63" priority="37" stopIfTrue="1" operator="greaterThan">
      <formula>$F$37</formula>
    </cfRule>
  </conditionalFormatting>
  <conditionalFormatting sqref="H57:I57">
    <cfRule type="cellIs" dxfId="62" priority="82" stopIfTrue="1" operator="lessThanOrEqual">
      <formula>0</formula>
    </cfRule>
    <cfRule type="cellIs" dxfId="61" priority="79" stopIfTrue="1" operator="greaterThan">
      <formula>$F$63</formula>
    </cfRule>
  </conditionalFormatting>
  <conditionalFormatting sqref="H58:I58">
    <cfRule type="cellIs" dxfId="60" priority="23" stopIfTrue="1" operator="greaterThan">
      <formula>$F$37</formula>
    </cfRule>
    <cfRule type="cellIs" dxfId="59" priority="26" stopIfTrue="1" operator="lessThanOrEqual">
      <formula>0</formula>
    </cfRule>
  </conditionalFormatting>
  <conditionalFormatting sqref="H71:I71">
    <cfRule type="cellIs" dxfId="58" priority="64" stopIfTrue="1" operator="lessThanOrEqual">
      <formula>0</formula>
    </cfRule>
    <cfRule type="cellIs" dxfId="57" priority="63" stopIfTrue="1" operator="greaterThan">
      <formula>$J71</formula>
    </cfRule>
  </conditionalFormatting>
  <conditionalFormatting sqref="I22">
    <cfRule type="cellIs" dxfId="56" priority="73" operator="lessThan">
      <formula>98</formula>
    </cfRule>
    <cfRule type="cellIs" dxfId="55" priority="70" operator="lessThan">
      <formula>97.8</formula>
    </cfRule>
  </conditionalFormatting>
  <conditionalFormatting sqref="I54:I56">
    <cfRule type="cellIs" dxfId="54" priority="43" stopIfTrue="1" operator="greaterThan">
      <formula>$F$37</formula>
    </cfRule>
    <cfRule type="cellIs" dxfId="53" priority="42" stopIfTrue="1" operator="lessThanOrEqual">
      <formula>0</formula>
    </cfRule>
    <cfRule type="cellIs" dxfId="52" priority="41" stopIfTrue="1" operator="greaterThan">
      <formula>$F$35</formula>
    </cfRule>
    <cfRule type="cellIs" dxfId="51" priority="46" stopIfTrue="1" operator="lessThanOrEqual">
      <formula>0</formula>
    </cfRule>
    <cfRule type="cellIs" dxfId="50" priority="45" stopIfTrue="1" operator="greaterThan">
      <formula>$F$35</formula>
    </cfRule>
    <cfRule type="cellIs" dxfId="49" priority="44" stopIfTrue="1" operator="lessThanOrEqual">
      <formula>0</formula>
    </cfRule>
  </conditionalFormatting>
  <conditionalFormatting sqref="I57">
    <cfRule type="cellIs" dxfId="48" priority="88" stopIfTrue="1" operator="lessThanOrEqual">
      <formula>0</formula>
    </cfRule>
    <cfRule type="cellIs" dxfId="47" priority="87" stopIfTrue="1" operator="greaterThan">
      <formula>$F$61</formula>
    </cfRule>
    <cfRule type="cellIs" dxfId="46" priority="85" stopIfTrue="1" operator="greaterThan">
      <formula>$F$63</formula>
    </cfRule>
    <cfRule type="cellIs" dxfId="45" priority="84" stopIfTrue="1" operator="lessThanOrEqual">
      <formula>0</formula>
    </cfRule>
    <cfRule type="cellIs" dxfId="44" priority="83" stopIfTrue="1" operator="greaterThan">
      <formula>$F$61</formula>
    </cfRule>
    <cfRule type="cellIs" dxfId="43" priority="86" stopIfTrue="1" operator="lessThanOrEqual">
      <formula>0</formula>
    </cfRule>
  </conditionalFormatting>
  <conditionalFormatting sqref="I58">
    <cfRule type="cellIs" dxfId="42" priority="31" stopIfTrue="1" operator="greaterThan">
      <formula>$F$35</formula>
    </cfRule>
    <cfRule type="cellIs" dxfId="41" priority="27" stopIfTrue="1" operator="greaterThan">
      <formula>$F$35</formula>
    </cfRule>
    <cfRule type="cellIs" dxfId="40" priority="28" stopIfTrue="1" operator="lessThanOrEqual">
      <formula>0</formula>
    </cfRule>
    <cfRule type="cellIs" dxfId="39" priority="30" stopIfTrue="1" operator="lessThanOrEqual">
      <formula>0</formula>
    </cfRule>
    <cfRule type="cellIs" dxfId="38" priority="29" stopIfTrue="1" operator="greaterThan">
      <formula>$F$37</formula>
    </cfRule>
    <cfRule type="cellIs" dxfId="37" priority="32" stopIfTrue="1" operator="lessThanOrEqual">
      <formula>0</formula>
    </cfRule>
  </conditionalFormatting>
  <conditionalFormatting sqref="I62:I70">
    <cfRule type="cellIs" dxfId="36" priority="99" stopIfTrue="1" operator="greaterThan">
      <formula>$J62</formula>
    </cfRule>
    <cfRule type="cellIs" dxfId="35" priority="100" stopIfTrue="1" operator="lessThanOrEqual">
      <formula>0</formula>
    </cfRule>
  </conditionalFormatting>
  <conditionalFormatting sqref="I73:I81">
    <cfRule type="cellIs" dxfId="34" priority="129" stopIfTrue="1" operator="lessThanOrEqual">
      <formula>0</formula>
    </cfRule>
    <cfRule type="cellIs" dxfId="33" priority="128" stopIfTrue="1" operator="greaterThan">
      <formula>4.5</formula>
    </cfRule>
  </conditionalFormatting>
  <conditionalFormatting sqref="I10:J21">
    <cfRule type="cellIs" dxfId="32" priority="11" operator="lessThan">
      <formula>97.9</formula>
    </cfRule>
  </conditionalFormatting>
  <conditionalFormatting sqref="J22">
    <cfRule type="cellIs" dxfId="31" priority="72" operator="lessThan">
      <formula>97.4</formula>
    </cfRule>
    <cfRule type="cellIs" dxfId="30" priority="71" operator="notBetween">
      <formula>98</formula>
      <formula>99.9</formula>
    </cfRule>
  </conditionalFormatting>
  <conditionalFormatting sqref="J25:J27">
    <cfRule type="cellIs" dxfId="29" priority="53" stopIfTrue="1" operator="lessThan">
      <formula>96.8</formula>
    </cfRule>
    <cfRule type="cellIs" dxfId="28" priority="54" stopIfTrue="1" operator="greaterThan">
      <formula>100</formula>
    </cfRule>
    <cfRule type="cellIs" dxfId="27" priority="55" operator="lessThan">
      <formula>98</formula>
    </cfRule>
  </conditionalFormatting>
  <conditionalFormatting sqref="J25:J29">
    <cfRule type="cellIs" dxfId="26" priority="52" operator="lessThan">
      <formula>97.4</formula>
    </cfRule>
  </conditionalFormatting>
  <conditionalFormatting sqref="J30">
    <cfRule type="cellIs" dxfId="25" priority="56" operator="lessThan">
      <formula>98</formula>
    </cfRule>
  </conditionalFormatting>
  <conditionalFormatting sqref="J31:J33">
    <cfRule type="cellIs" dxfId="24" priority="57" stopIfTrue="1" operator="lessThan">
      <formula>96.8</formula>
    </cfRule>
    <cfRule type="cellIs" dxfId="23" priority="58" stopIfTrue="1" operator="greaterThan">
      <formula>100</formula>
    </cfRule>
  </conditionalFormatting>
  <conditionalFormatting sqref="J31:J34">
    <cfRule type="cellIs" dxfId="22" priority="59" operator="lessThan">
      <formula>98</formula>
    </cfRule>
  </conditionalFormatting>
  <conditionalFormatting sqref="J71">
    <cfRule type="cellIs" dxfId="21" priority="60" stopIfTrue="1" operator="greaterThan">
      <formula>$F71</formula>
    </cfRule>
    <cfRule type="cellIs" dxfId="20" priority="61" stopIfTrue="1" operator="lessThanOrEqual">
      <formula>0</formula>
    </cfRule>
  </conditionalFormatting>
  <conditionalFormatting sqref="K10:K22">
    <cfRule type="cellIs" dxfId="19" priority="5" operator="lessThan">
      <formula>4</formula>
    </cfRule>
    <cfRule type="cellIs" dxfId="18" priority="9" operator="greaterThan">
      <formula>6.4</formula>
    </cfRule>
    <cfRule type="cellIs" dxfId="17" priority="4" operator="greaterThan">
      <formula>6</formula>
    </cfRule>
  </conditionalFormatting>
  <conditionalFormatting sqref="K39:K48">
    <cfRule type="cellIs" dxfId="16" priority="51" operator="notEqual">
      <formula>#REF!</formula>
    </cfRule>
  </conditionalFormatting>
  <conditionalFormatting sqref="K54:K58 K62:N65 L66:N66">
    <cfRule type="cellIs" dxfId="15" priority="112" stopIfTrue="1" operator="lessThan">
      <formula>100%</formula>
    </cfRule>
  </conditionalFormatting>
  <conditionalFormatting sqref="K73:K78">
    <cfRule type="cellIs" dxfId="14" priority="134" stopIfTrue="1" operator="lessThan">
      <formula>100%</formula>
    </cfRule>
  </conditionalFormatting>
  <conditionalFormatting sqref="K80:K81">
    <cfRule type="cellIs" dxfId="13" priority="141" stopIfTrue="1" operator="lessThan">
      <formula>100%</formula>
    </cfRule>
  </conditionalFormatting>
  <conditionalFormatting sqref="K67:N71">
    <cfRule type="cellIs" dxfId="12" priority="62" stopIfTrue="1" operator="lessThan">
      <formula>100%</formula>
    </cfRule>
  </conditionalFormatting>
  <conditionalFormatting sqref="L10:L22">
    <cfRule type="cellIs" dxfId="11" priority="7" operator="greaterThan">
      <formula>65</formula>
    </cfRule>
    <cfRule type="cellIs" dxfId="10" priority="6" operator="between">
      <formula>61</formula>
      <formula>65</formula>
    </cfRule>
  </conditionalFormatting>
  <conditionalFormatting sqref="L25:M36">
    <cfRule type="cellIs" dxfId="9" priority="67" operator="lessThan">
      <formula>98</formula>
    </cfRule>
  </conditionalFormatting>
  <conditionalFormatting sqref="L40:N40">
    <cfRule type="cellIs" dxfId="8" priority="76" operator="notEqual">
      <formula>#REF!</formula>
    </cfRule>
  </conditionalFormatting>
  <conditionalFormatting sqref="L73:N81">
    <cfRule type="cellIs" dxfId="7" priority="119" stopIfTrue="1" operator="lessThan">
      <formula>100%</formula>
    </cfRule>
  </conditionalFormatting>
  <conditionalFormatting sqref="M10:M22">
    <cfRule type="expression" dxfId="6" priority="2">
      <formula>IF(+(IF(M10&lt;V10,0,IF(M10&gt;W10,0,1)))=0,1)</formula>
    </cfRule>
  </conditionalFormatting>
  <conditionalFormatting sqref="M6:N6">
    <cfRule type="cellIs" dxfId="5" priority="78" operator="greaterThanOrEqual">
      <formula>19</formula>
    </cfRule>
    <cfRule type="cellIs" dxfId="4" priority="77" operator="greaterThanOrEqual">
      <formula>15</formula>
    </cfRule>
  </conditionalFormatting>
  <conditionalFormatting sqref="N10:N22">
    <cfRule type="expression" dxfId="3" priority="3">
      <formula>IF(+(IF(N10&lt;X10,0,IF(N10&gt;Y10,0,1)))=0,1)</formula>
    </cfRule>
  </conditionalFormatting>
  <conditionalFormatting sqref="N22">
    <cfRule type="expression" dxfId="2" priority="149">
      <formula>IF(+(IF(N22&lt;X64,0,IF(N22&gt;Y64,0,1)))=0,1)</formula>
    </cfRule>
    <cfRule type="expression" dxfId="1" priority="150">
      <formula>IF(+(IF(N22&lt;X59,0,IF(N22&gt;Y59,0,1)))=0,1)</formula>
    </cfRule>
  </conditionalFormatting>
  <conditionalFormatting sqref="P6">
    <cfRule type="cellIs" dxfId="0" priority="115" operator="greaterThanOrEqual">
      <formula>19</formula>
    </cfRule>
  </conditionalFormatting>
  <dataValidations disablePrompts="1" count="1">
    <dataValidation type="list" allowBlank="1" showInputMessage="1" showErrorMessage="1" sqref="S8 B22" xr:uid="{E5C7C24A-486D-445B-BDCD-4CC152593D8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0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53" t="s">
        <v>58</v>
      </c>
      <c r="C2" s="553"/>
      <c r="D2" s="553"/>
      <c r="E2" s="553"/>
      <c r="F2" s="553"/>
      <c r="G2" s="553"/>
      <c r="H2" s="553"/>
      <c r="I2" s="553"/>
      <c r="J2" s="553"/>
      <c r="K2" s="553"/>
    </row>
    <row r="3" spans="2:14" ht="15.6" hidden="1" thickBot="1">
      <c r="B3" s="79"/>
    </row>
    <row r="4" spans="2:14" ht="13.8" hidden="1" thickBot="1">
      <c r="B4" s="78" t="s">
        <v>7</v>
      </c>
      <c r="C4" s="554">
        <v>41431</v>
      </c>
      <c r="D4" s="55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55" t="s">
        <v>17</v>
      </c>
      <c r="C8" s="557" t="s">
        <v>18</v>
      </c>
      <c r="D8" s="557" t="s">
        <v>59</v>
      </c>
      <c r="E8" s="80" t="s">
        <v>20</v>
      </c>
      <c r="F8" s="81" t="s">
        <v>21</v>
      </c>
      <c r="G8" s="557" t="s">
        <v>60</v>
      </c>
      <c r="H8" s="557" t="s">
        <v>61</v>
      </c>
      <c r="I8" s="559" t="s">
        <v>62</v>
      </c>
      <c r="J8" s="82" t="s">
        <v>25</v>
      </c>
      <c r="K8" s="561" t="s">
        <v>28</v>
      </c>
    </row>
    <row r="9" spans="2:14" ht="27" hidden="1" thickBot="1">
      <c r="B9" s="556"/>
      <c r="C9" s="558"/>
      <c r="D9" s="558"/>
      <c r="E9" s="83" t="s">
        <v>30</v>
      </c>
      <c r="F9" s="84" t="s">
        <v>63</v>
      </c>
      <c r="G9" s="558"/>
      <c r="H9" s="558"/>
      <c r="I9" s="560"/>
      <c r="J9" s="85" t="s">
        <v>32</v>
      </c>
      <c r="K9" s="562"/>
      <c r="L9" s="86"/>
      <c r="M9" s="86"/>
      <c r="N9" s="86"/>
    </row>
    <row r="10" spans="2:14" ht="13.8" hidden="1" thickBot="1">
      <c r="B10" s="87" t="s">
        <v>64</v>
      </c>
      <c r="C10" s="88" t="str">
        <f>[34]Brewhouse!A5359</f>
        <v>CA236</v>
      </c>
      <c r="D10" s="88">
        <f>[34]Brewhouse!B5359</f>
        <v>41437</v>
      </c>
      <c r="E10" s="89">
        <f>[34]Brewhouse!AG5359</f>
        <v>49.011000000000003</v>
      </c>
      <c r="F10" s="90">
        <f>[34]Brewhouse!T5359</f>
        <v>60</v>
      </c>
      <c r="G10" s="91">
        <f>[34]Brewhouse!I5359</f>
        <v>19.79</v>
      </c>
      <c r="H10" s="92">
        <f>[34]Brewhouse!AS5359</f>
        <v>94.981545664755075</v>
      </c>
      <c r="I10" s="92">
        <f>[34]Brewhouse!AT5359</f>
        <v>97.074072469002047</v>
      </c>
      <c r="J10" s="93">
        <f>[34]Brewhouse!S5359-[34]Brewhouse!R5359</f>
        <v>0.10694444444444451</v>
      </c>
      <c r="K10" s="94"/>
      <c r="N10" s="95"/>
    </row>
    <row r="11" spans="2:14" ht="13.8" hidden="1" thickBot="1">
      <c r="B11" s="96"/>
      <c r="C11" s="88" t="str">
        <f>[34]Brewhouse!A5360</f>
        <v>CA237</v>
      </c>
      <c r="D11" s="88">
        <f>[34]Brewhouse!B5360</f>
        <v>41437</v>
      </c>
      <c r="E11" s="89">
        <f>[34]Brewhouse!AG5360</f>
        <v>48.531999999999996</v>
      </c>
      <c r="F11" s="90">
        <f>[34]Brewhouse!T5360</f>
        <v>68</v>
      </c>
      <c r="G11" s="91">
        <f>[34]Brewhouse!I5360</f>
        <v>17.7</v>
      </c>
      <c r="H11" s="92">
        <f>[34]Brewhouse!AS5360</f>
        <v>94.053260986347809</v>
      </c>
      <c r="I11" s="92">
        <f>[34]Brewhouse!AT5360</f>
        <v>96.1253368644918</v>
      </c>
      <c r="J11" s="93">
        <f>[34]Brewhouse!S5360-[34]Brewhouse!R5360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[34]Brewhouse!A5361</f>
        <v>CA238</v>
      </c>
      <c r="D12" s="88">
        <f>[34]Brewhouse!B5361</f>
        <v>41437</v>
      </c>
      <c r="E12" s="89">
        <f>[34]Brewhouse!AG5361</f>
        <v>50.466999999999999</v>
      </c>
      <c r="F12" s="90">
        <f>[34]Brewhouse!T5361</f>
        <v>61</v>
      </c>
      <c r="G12" s="91">
        <f>[34]Brewhouse!I5361</f>
        <v>19.7</v>
      </c>
      <c r="H12" s="92">
        <f>[34]Brewhouse!AS5361</f>
        <v>96.931393272913695</v>
      </c>
      <c r="I12" s="92">
        <f>[34]Brewhouse!AT5361</f>
        <v>99.066876931102286</v>
      </c>
      <c r="J12" s="93">
        <f>[34]Brewhouse!S5361-[34]Brewhouse!R5361</f>
        <v>0.10208333333333341</v>
      </c>
      <c r="K12" s="98"/>
    </row>
    <row r="13" spans="2:14" ht="13.8" hidden="1" thickBot="1">
      <c r="B13" s="99"/>
      <c r="C13" s="88" t="str">
        <f>[34]Brewhouse!A5362</f>
        <v>CA239</v>
      </c>
      <c r="D13" s="88">
        <f>[34]Brewhouse!B5362</f>
        <v>41437</v>
      </c>
      <c r="E13" s="89">
        <f>[34]Brewhouse!AG5362</f>
        <v>49.374000000000002</v>
      </c>
      <c r="F13" s="90">
        <f>[34]Brewhouse!T5362</f>
        <v>62</v>
      </c>
      <c r="G13" s="91">
        <f>[34]Brewhouse!I5362</f>
        <v>19</v>
      </c>
      <c r="H13" s="92">
        <f>[34]Brewhouse!AS5362</f>
        <v>95.68502653795305</v>
      </c>
      <c r="I13" s="92">
        <f>[34]Brewhouse!AT5362</f>
        <v>97.793051643192499</v>
      </c>
      <c r="J13" s="93">
        <f>[34]Brewhouse!S5362-[34]Brewhouse!R5362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63" t="s">
        <v>69</v>
      </c>
      <c r="G21" s="564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[34]Brewhouse!N5359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[34]Brewhouse!N5360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[34]Brewhouse!N5361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[34]Brewhouse!N5362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AVERAGE([34]Brewhouse!$AS$5347:$AS$5362)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AVERAGE([35]Brewhouse!$AQ$641:$AQ$644)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AVERAGE([36]Brewhouse!$AU$708:$AU$711)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AVERAGE([37]Brewhouse!$AY$943:$AY$946)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55" t="s">
        <v>17</v>
      </c>
      <c r="C43" s="557" t="s">
        <v>18</v>
      </c>
      <c r="D43" s="557" t="s">
        <v>44</v>
      </c>
      <c r="E43" s="557" t="s">
        <v>79</v>
      </c>
      <c r="F43" s="557" t="s">
        <v>51</v>
      </c>
      <c r="G43" s="557" t="s">
        <v>48</v>
      </c>
      <c r="H43" s="572" t="s">
        <v>28</v>
      </c>
      <c r="I43" s="573"/>
      <c r="J43" s="573"/>
      <c r="K43" s="561" t="s">
        <v>27</v>
      </c>
    </row>
    <row r="44" spans="2:15" ht="15.75" hidden="1" customHeight="1" thickBot="1">
      <c r="B44" s="568"/>
      <c r="C44" s="569"/>
      <c r="D44" s="569"/>
      <c r="E44" s="569"/>
      <c r="F44" s="569"/>
      <c r="G44" s="569"/>
      <c r="H44" s="574"/>
      <c r="I44" s="575"/>
      <c r="J44" s="575"/>
      <c r="K44" s="56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66"/>
      <c r="I45" s="567"/>
      <c r="J45" s="567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576"/>
      <c r="I46" s="577"/>
      <c r="J46" s="577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576"/>
      <c r="I47" s="577"/>
      <c r="J47" s="577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576"/>
      <c r="I48" s="577"/>
      <c r="J48" s="577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70"/>
      <c r="I49" s="571"/>
      <c r="J49" s="571"/>
      <c r="K49" s="172"/>
    </row>
    <row r="50" spans="2:11" ht="13.8" hidden="1" thickBot="1">
      <c r="B50" s="173"/>
      <c r="C50" s="160"/>
      <c r="E50" s="168"/>
      <c r="F50" s="168"/>
      <c r="G50" s="145"/>
      <c r="H50" s="570"/>
      <c r="I50" s="571"/>
      <c r="J50" s="571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70"/>
      <c r="I51" s="571"/>
      <c r="J51" s="571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78"/>
      <c r="I52" s="579"/>
      <c r="J52" s="579"/>
      <c r="K52" s="183"/>
    </row>
    <row r="53" spans="2:11" ht="13.8" thickBot="1">
      <c r="B53" s="184"/>
      <c r="C53" s="117"/>
      <c r="D53" s="580" t="s">
        <v>80</v>
      </c>
      <c r="E53" s="580"/>
      <c r="F53" s="580"/>
      <c r="G53" s="580"/>
      <c r="H53" s="580"/>
      <c r="I53" s="580"/>
      <c r="J53" s="580"/>
      <c r="K53" s="185"/>
    </row>
    <row r="54" spans="2:11" ht="13.8" thickBot="1">
      <c r="B54" s="581" t="s">
        <v>55</v>
      </c>
      <c r="C54" s="582"/>
      <c r="D54" s="582"/>
      <c r="E54" s="583"/>
      <c r="F54" s="581" t="s">
        <v>56</v>
      </c>
      <c r="G54" s="582"/>
      <c r="H54" s="583"/>
      <c r="I54" s="584" t="s">
        <v>81</v>
      </c>
      <c r="J54" s="585"/>
      <c r="K54" s="586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[32]MTD!E5</f>
        <v>7.501429586373014</v>
      </c>
      <c r="E56" s="192">
        <v>5</v>
      </c>
      <c r="F56" s="191"/>
      <c r="G56" s="76">
        <f>[31]March_2025!AN3</f>
        <v>8.3149138297469687</v>
      </c>
      <c r="H56" s="192">
        <v>5</v>
      </c>
      <c r="I56" s="193"/>
      <c r="J56" s="194">
        <f>[33]March_2025!AN13</f>
        <v>0.66893633221568671</v>
      </c>
      <c r="K56" s="195">
        <v>1</v>
      </c>
    </row>
    <row r="57" spans="2:11" ht="13.8">
      <c r="B57" s="33" t="s">
        <v>72</v>
      </c>
      <c r="C57" s="191"/>
      <c r="D57" s="76">
        <f>[32]MTD!E6</f>
        <v>8.3101182654402397</v>
      </c>
      <c r="E57" s="192">
        <v>5</v>
      </c>
      <c r="F57" s="191"/>
      <c r="G57" s="76">
        <f>[31]March_2025!AN4</f>
        <v>9.1320577626601764</v>
      </c>
      <c r="H57" s="192">
        <v>5</v>
      </c>
      <c r="I57" s="196"/>
      <c r="J57" s="194">
        <f>[33]March_2025!AN14</f>
        <v>0.73355232285312055</v>
      </c>
      <c r="K57" s="195">
        <v>1</v>
      </c>
    </row>
    <row r="58" spans="2:11" ht="13.8">
      <c r="B58" s="34" t="s">
        <v>73</v>
      </c>
      <c r="C58" s="191"/>
      <c r="D58" s="76">
        <f>[32]MTD!E7</f>
        <v>10.311344019728741</v>
      </c>
      <c r="E58" s="192">
        <v>5</v>
      </c>
      <c r="F58" s="191"/>
      <c r="G58" s="76">
        <f>[31]March_2025!AN5</f>
        <v>12.668687929841122</v>
      </c>
      <c r="H58" s="192">
        <v>5</v>
      </c>
      <c r="I58" s="196"/>
      <c r="J58" s="194">
        <f>[33]March_2025!AN15</f>
        <v>0.54249999999999998</v>
      </c>
      <c r="K58" s="195">
        <v>1</v>
      </c>
    </row>
    <row r="59" spans="2:11" ht="13.8">
      <c r="B59" s="197" t="s">
        <v>74</v>
      </c>
      <c r="C59" s="191"/>
      <c r="D59" s="76">
        <f>[32]MTD!E8</f>
        <v>10.078662733529978</v>
      </c>
      <c r="E59" s="192">
        <v>3.5</v>
      </c>
      <c r="F59" s="191"/>
      <c r="G59" s="76">
        <f>[31]March_2025!AN6</f>
        <v>9.2204897908965187</v>
      </c>
      <c r="H59" s="192">
        <v>3.5</v>
      </c>
      <c r="I59" s="196"/>
      <c r="J59" s="194">
        <f>[33]March_2025!AN16</f>
        <v>0.6417543859649123</v>
      </c>
      <c r="K59" s="195">
        <v>1</v>
      </c>
    </row>
    <row r="60" spans="2:11" ht="14.4" thickBot="1">
      <c r="B60" s="38" t="s">
        <v>162</v>
      </c>
      <c r="C60" s="191"/>
      <c r="D60" s="76" t="e">
        <f>[32]MTD!E9</f>
        <v>#DIV/0!</v>
      </c>
      <c r="E60" s="192">
        <v>3.5</v>
      </c>
      <c r="F60" s="198"/>
      <c r="G60" s="76" t="e">
        <f>[31]March_2025!AN7</f>
        <v>#DIV/0!</v>
      </c>
      <c r="H60" s="192">
        <v>3.5</v>
      </c>
      <c r="I60" s="196"/>
      <c r="J60" s="194" t="e">
        <f>[33]March_2025!AN17</f>
        <v>#DIV/0!</v>
      </c>
      <c r="K60" s="195">
        <v>1</v>
      </c>
    </row>
    <row r="61" spans="2:11" ht="13.8">
      <c r="B61" s="199" t="s">
        <v>76</v>
      </c>
      <c r="C61" s="191"/>
      <c r="D61" s="76" t="e">
        <f>[32]MTD!E10</f>
        <v>#DIV/0!</v>
      </c>
      <c r="E61" s="200">
        <v>5</v>
      </c>
      <c r="F61" s="191"/>
      <c r="G61" s="76" t="e">
        <f>[31]March_2025!AN8</f>
        <v>#DIV/0!</v>
      </c>
      <c r="H61" s="200">
        <v>5</v>
      </c>
      <c r="I61" s="196"/>
      <c r="J61" s="194" t="e">
        <f>[33]March_2025!AN18</f>
        <v>#DIV/0!</v>
      </c>
      <c r="K61" s="195">
        <v>1</v>
      </c>
    </row>
    <row r="62" spans="2:11" ht="13.8">
      <c r="B62" s="201" t="s">
        <v>82</v>
      </c>
      <c r="C62" s="202"/>
      <c r="D62" s="76">
        <f>[32]MTD!E11</f>
        <v>3.0622243998040313</v>
      </c>
      <c r="E62" s="200">
        <v>3.3</v>
      </c>
      <c r="F62" s="202"/>
      <c r="G62" s="76">
        <f>[31]March_2025!AN9</f>
        <v>4.90230047253743</v>
      </c>
      <c r="H62" s="200">
        <v>3.3</v>
      </c>
      <c r="I62" s="203"/>
      <c r="J62" s="194">
        <f>[33]March_2025!AN19</f>
        <v>0.98924999999999996</v>
      </c>
      <c r="K62" s="204">
        <v>1</v>
      </c>
    </row>
    <row r="63" spans="2:11" ht="14.4" thickBot="1">
      <c r="B63" s="38" t="s">
        <v>128</v>
      </c>
      <c r="C63" s="205"/>
      <c r="D63" s="76" t="e">
        <f>[32]MTD!E12</f>
        <v>#DIV/0!</v>
      </c>
      <c r="E63" s="206">
        <v>3.5</v>
      </c>
      <c r="F63" s="205"/>
      <c r="G63" s="76" t="e">
        <f>[31]March_2025!AN10</f>
        <v>#DIV/0!</v>
      </c>
      <c r="H63" s="206">
        <v>3.5</v>
      </c>
      <c r="I63" s="207"/>
      <c r="J63" s="194" t="e">
        <f>[33]March_2025!AN20</f>
        <v>#DIV/0!</v>
      </c>
      <c r="K63" s="208">
        <v>1</v>
      </c>
    </row>
    <row r="64" spans="2:11" ht="14.4" thickBot="1">
      <c r="B64" s="429" t="s">
        <v>161</v>
      </c>
      <c r="C64" s="198"/>
      <c r="D64" s="76" t="e">
        <f>[32]MTD!E13</f>
        <v>#DIV/0!</v>
      </c>
      <c r="E64" s="192">
        <v>5</v>
      </c>
      <c r="F64" s="198"/>
      <c r="G64" s="76" t="e">
        <f>[31]March_2025!AN11</f>
        <v>#DIV/0!</v>
      </c>
      <c r="H64" s="192">
        <v>5</v>
      </c>
      <c r="I64" s="428"/>
      <c r="J64" s="194" t="e">
        <f>[33]March_2025!AN21</f>
        <v>#DIV/0!</v>
      </c>
      <c r="K64" s="208">
        <v>1</v>
      </c>
    </row>
    <row r="65" spans="2:11">
      <c r="B65" s="209"/>
      <c r="C65" s="210"/>
      <c r="D65" s="76">
        <f>[32]MTD!E14</f>
        <v>7.7893462436116403</v>
      </c>
      <c r="E65" s="210"/>
      <c r="F65" s="210"/>
      <c r="G65" s="76">
        <f>[31]March_2025!AN12</f>
        <v>8.8323372415652379</v>
      </c>
      <c r="H65" s="211"/>
      <c r="I65" s="212"/>
      <c r="J65" s="194">
        <f>[33]March_2025!AN22</f>
        <v>0.69371494893221897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D56" sqref="D56:D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53" t="s">
        <v>58</v>
      </c>
      <c r="C2" s="553"/>
      <c r="D2" s="553"/>
      <c r="E2" s="553"/>
      <c r="F2" s="553"/>
      <c r="G2" s="553"/>
      <c r="H2" s="553"/>
      <c r="I2" s="553"/>
      <c r="J2" s="553"/>
      <c r="K2" s="553"/>
    </row>
    <row r="3" spans="2:14" ht="15.6" hidden="1" thickBot="1">
      <c r="B3" s="79"/>
    </row>
    <row r="4" spans="2:14" ht="13.8" hidden="1" thickBot="1">
      <c r="B4" s="78" t="s">
        <v>7</v>
      </c>
      <c r="C4" s="554">
        <v>41431</v>
      </c>
      <c r="D4" s="554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55" t="s">
        <v>17</v>
      </c>
      <c r="C8" s="557" t="s">
        <v>18</v>
      </c>
      <c r="D8" s="557" t="s">
        <v>59</v>
      </c>
      <c r="E8" s="80" t="s">
        <v>20</v>
      </c>
      <c r="F8" s="81" t="s">
        <v>21</v>
      </c>
      <c r="G8" s="557" t="s">
        <v>60</v>
      </c>
      <c r="H8" s="557" t="s">
        <v>61</v>
      </c>
      <c r="I8" s="559" t="s">
        <v>62</v>
      </c>
      <c r="J8" s="82" t="s">
        <v>25</v>
      </c>
      <c r="K8" s="561" t="s">
        <v>28</v>
      </c>
    </row>
    <row r="9" spans="2:14" ht="27" hidden="1" thickBot="1">
      <c r="B9" s="556"/>
      <c r="C9" s="558"/>
      <c r="D9" s="558"/>
      <c r="E9" s="83" t="s">
        <v>30</v>
      </c>
      <c r="F9" s="84" t="s">
        <v>63</v>
      </c>
      <c r="G9" s="558"/>
      <c r="H9" s="558"/>
      <c r="I9" s="560"/>
      <c r="J9" s="85" t="s">
        <v>32</v>
      </c>
      <c r="K9" s="562"/>
      <c r="L9" s="86"/>
      <c r="M9" s="86"/>
      <c r="N9" s="86"/>
    </row>
    <row r="10" spans="2:14" ht="13.8" hidden="1" thickBot="1">
      <c r="B10" s="87" t="s">
        <v>64</v>
      </c>
      <c r="C10" s="88" t="str">
        <f>[34]Brewhouse!A5359</f>
        <v>CA236</v>
      </c>
      <c r="D10" s="88">
        <f>[34]Brewhouse!B5359</f>
        <v>41437</v>
      </c>
      <c r="E10" s="89">
        <f>[34]Brewhouse!AG5359</f>
        <v>49.011000000000003</v>
      </c>
      <c r="F10" s="90">
        <f>[34]Brewhouse!T5359</f>
        <v>60</v>
      </c>
      <c r="G10" s="91">
        <f>[34]Brewhouse!I5359</f>
        <v>19.79</v>
      </c>
      <c r="H10" s="92">
        <f>[34]Brewhouse!AS5359</f>
        <v>94.981545664755075</v>
      </c>
      <c r="I10" s="92">
        <f>[34]Brewhouse!AT5359</f>
        <v>97.074072469002047</v>
      </c>
      <c r="J10" s="93">
        <f>[34]Brewhouse!S5359-[34]Brewhouse!R5359</f>
        <v>0.10694444444444451</v>
      </c>
      <c r="K10" s="94"/>
      <c r="N10" s="95"/>
    </row>
    <row r="11" spans="2:14" ht="13.8" hidden="1" thickBot="1">
      <c r="B11" s="96"/>
      <c r="C11" s="88" t="str">
        <f>[34]Brewhouse!A5360</f>
        <v>CA237</v>
      </c>
      <c r="D11" s="88">
        <f>[34]Brewhouse!B5360</f>
        <v>41437</v>
      </c>
      <c r="E11" s="89">
        <f>[34]Brewhouse!AG5360</f>
        <v>48.531999999999996</v>
      </c>
      <c r="F11" s="90">
        <f>[34]Brewhouse!T5360</f>
        <v>68</v>
      </c>
      <c r="G11" s="91">
        <f>[34]Brewhouse!I5360</f>
        <v>17.7</v>
      </c>
      <c r="H11" s="92">
        <f>[34]Brewhouse!AS5360</f>
        <v>94.053260986347809</v>
      </c>
      <c r="I11" s="92">
        <f>[34]Brewhouse!AT5360</f>
        <v>96.1253368644918</v>
      </c>
      <c r="J11" s="93">
        <f>[34]Brewhouse!S5360-[34]Brewhouse!R5360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[34]Brewhouse!A5361</f>
        <v>CA238</v>
      </c>
      <c r="D12" s="88">
        <f>[34]Brewhouse!B5361</f>
        <v>41437</v>
      </c>
      <c r="E12" s="89">
        <f>[34]Brewhouse!AG5361</f>
        <v>50.466999999999999</v>
      </c>
      <c r="F12" s="90">
        <f>[34]Brewhouse!T5361</f>
        <v>61</v>
      </c>
      <c r="G12" s="91">
        <f>[34]Brewhouse!I5361</f>
        <v>19.7</v>
      </c>
      <c r="H12" s="92">
        <f>[34]Brewhouse!AS5361</f>
        <v>96.931393272913695</v>
      </c>
      <c r="I12" s="92">
        <f>[34]Brewhouse!AT5361</f>
        <v>99.066876931102286</v>
      </c>
      <c r="J12" s="93">
        <f>[34]Brewhouse!S5361-[34]Brewhouse!R5361</f>
        <v>0.10208333333333341</v>
      </c>
      <c r="K12" s="98"/>
    </row>
    <row r="13" spans="2:14" ht="13.8" hidden="1" thickBot="1">
      <c r="B13" s="99"/>
      <c r="C13" s="88" t="str">
        <f>[34]Brewhouse!A5362</f>
        <v>CA239</v>
      </c>
      <c r="D13" s="88">
        <f>[34]Brewhouse!B5362</f>
        <v>41437</v>
      </c>
      <c r="E13" s="89">
        <f>[34]Brewhouse!AG5362</f>
        <v>49.374000000000002</v>
      </c>
      <c r="F13" s="90">
        <f>[34]Brewhouse!T5362</f>
        <v>62</v>
      </c>
      <c r="G13" s="91">
        <f>[34]Brewhouse!I5362</f>
        <v>19</v>
      </c>
      <c r="H13" s="92">
        <f>[34]Brewhouse!AS5362</f>
        <v>95.68502653795305</v>
      </c>
      <c r="I13" s="92">
        <f>[34]Brewhouse!AT5362</f>
        <v>97.793051643192499</v>
      </c>
      <c r="J13" s="93">
        <f>[34]Brewhouse!S5362-[34]Brewhouse!R5362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63" t="s">
        <v>69</v>
      </c>
      <c r="G21" s="564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[34]Brewhouse!N5359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[34]Brewhouse!N5360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[34]Brewhouse!N5361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[34]Brewhouse!N5362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AVERAGE([34]Brewhouse!$AS$5347:$AS$5362)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AVERAGE([35]Brewhouse!$AQ$641:$AQ$644)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AVERAGE([36]Brewhouse!$AU$708:$AU$711)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AVERAGE([37]Brewhouse!$AY$943:$AY$946)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55" t="s">
        <v>17</v>
      </c>
      <c r="C43" s="557" t="s">
        <v>18</v>
      </c>
      <c r="D43" s="557" t="s">
        <v>44</v>
      </c>
      <c r="E43" s="557" t="s">
        <v>79</v>
      </c>
      <c r="F43" s="557" t="s">
        <v>51</v>
      </c>
      <c r="G43" s="557" t="s">
        <v>48</v>
      </c>
      <c r="H43" s="572" t="s">
        <v>28</v>
      </c>
      <c r="I43" s="573"/>
      <c r="J43" s="573"/>
      <c r="K43" s="561" t="s">
        <v>27</v>
      </c>
    </row>
    <row r="44" spans="2:15" ht="15.75" hidden="1" customHeight="1" thickBot="1">
      <c r="B44" s="568"/>
      <c r="C44" s="569"/>
      <c r="D44" s="569"/>
      <c r="E44" s="569"/>
      <c r="F44" s="569"/>
      <c r="G44" s="569"/>
      <c r="H44" s="574"/>
      <c r="I44" s="575"/>
      <c r="J44" s="575"/>
      <c r="K44" s="56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66"/>
      <c r="I45" s="567"/>
      <c r="J45" s="567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576"/>
      <c r="I46" s="577"/>
      <c r="J46" s="577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576"/>
      <c r="I47" s="577"/>
      <c r="J47" s="577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576"/>
      <c r="I48" s="577"/>
      <c r="J48" s="577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70"/>
      <c r="I49" s="571"/>
      <c r="J49" s="571"/>
      <c r="K49" s="172"/>
    </row>
    <row r="50" spans="2:11" ht="13.8" hidden="1" thickBot="1">
      <c r="B50" s="173"/>
      <c r="C50" s="160"/>
      <c r="E50" s="168"/>
      <c r="F50" s="168"/>
      <c r="G50" s="145"/>
      <c r="H50" s="570"/>
      <c r="I50" s="571"/>
      <c r="J50" s="571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70"/>
      <c r="I51" s="571"/>
      <c r="J51" s="571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78"/>
      <c r="I52" s="579"/>
      <c r="J52" s="579"/>
      <c r="K52" s="183"/>
    </row>
    <row r="53" spans="2:11" ht="13.8" thickBot="1">
      <c r="B53" s="184"/>
      <c r="C53" s="117"/>
      <c r="D53" s="580" t="s">
        <v>80</v>
      </c>
      <c r="E53" s="580"/>
      <c r="F53" s="580"/>
      <c r="G53" s="580"/>
      <c r="H53" s="580"/>
      <c r="I53" s="580"/>
      <c r="J53" s="580"/>
      <c r="K53" s="185"/>
    </row>
    <row r="54" spans="2:11" ht="13.8" thickBot="1">
      <c r="B54" s="581" t="s">
        <v>55</v>
      </c>
      <c r="C54" s="582"/>
      <c r="D54" s="582"/>
      <c r="E54" s="583"/>
      <c r="F54" s="581" t="s">
        <v>56</v>
      </c>
      <c r="G54" s="582"/>
      <c r="H54" s="583"/>
      <c r="I54" s="584" t="s">
        <v>81</v>
      </c>
      <c r="J54" s="585"/>
      <c r="K54" s="586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'[32]YTD 2025'!$E5</f>
        <v>7.1765183672014174</v>
      </c>
      <c r="E56" s="192">
        <v>5</v>
      </c>
      <c r="F56" s="191"/>
      <c r="G56" s="76">
        <f>[31]March_2025!AQ3</f>
        <v>7.755067532137339</v>
      </c>
      <c r="H56" s="192">
        <v>5</v>
      </c>
      <c r="I56" s="193"/>
      <c r="J56" s="194">
        <f>[33]March_2025!AQ13</f>
        <v>0.77968155451799681</v>
      </c>
      <c r="K56" s="195">
        <v>1</v>
      </c>
    </row>
    <row r="57" spans="2:11" ht="13.8">
      <c r="B57" s="33" t="s">
        <v>72</v>
      </c>
      <c r="C57" s="191"/>
      <c r="D57" s="76">
        <f>'[32]YTD 2025'!$E6</f>
        <v>7.3098189687373392</v>
      </c>
      <c r="E57" s="192">
        <v>5</v>
      </c>
      <c r="F57" s="191"/>
      <c r="G57" s="76">
        <f>[31]March_2025!AQ4</f>
        <v>7.6622154861695657</v>
      </c>
      <c r="H57" s="192">
        <v>5</v>
      </c>
      <c r="I57" s="196"/>
      <c r="J57" s="194">
        <f>[33]March_2025!AQ14</f>
        <v>0.71734920760465315</v>
      </c>
      <c r="K57" s="195">
        <v>1</v>
      </c>
    </row>
    <row r="58" spans="2:11" ht="13.8">
      <c r="B58" s="34" t="s">
        <v>73</v>
      </c>
      <c r="C58" s="191"/>
      <c r="D58" s="76">
        <f>'[32]YTD 2025'!$E7</f>
        <v>12.42603550295857</v>
      </c>
      <c r="E58" s="192">
        <v>5</v>
      </c>
      <c r="F58" s="191"/>
      <c r="G58" s="76">
        <f>[31]March_2025!AQ5</f>
        <v>14.436247754556394</v>
      </c>
      <c r="H58" s="192">
        <v>5</v>
      </c>
      <c r="I58" s="196"/>
      <c r="J58" s="194">
        <f>[33]March_2025!AQ15</f>
        <v>0.52401498127340829</v>
      </c>
      <c r="K58" s="195">
        <v>1</v>
      </c>
    </row>
    <row r="59" spans="2:11" ht="13.8">
      <c r="B59" s="197" t="s">
        <v>74</v>
      </c>
      <c r="C59" s="191"/>
      <c r="D59" s="76">
        <f>'[32]YTD 2025'!$E8</f>
        <v>5.3032814053695727</v>
      </c>
      <c r="E59" s="192">
        <v>3.5</v>
      </c>
      <c r="F59" s="191"/>
      <c r="G59" s="76">
        <f>[31]March_2025!AQ6</f>
        <v>6.209437755460022</v>
      </c>
      <c r="H59" s="192">
        <v>3.5</v>
      </c>
      <c r="I59" s="196"/>
      <c r="J59" s="194">
        <f>[33]March_2025!AQ16</f>
        <v>0.75184210526315787</v>
      </c>
      <c r="K59" s="195">
        <v>1</v>
      </c>
    </row>
    <row r="60" spans="2:11" ht="14.4" thickBot="1">
      <c r="B60" s="38" t="s">
        <v>162</v>
      </c>
      <c r="C60" s="191"/>
      <c r="D60" s="76" t="e">
        <f>'[32]YTD 2025'!$E9</f>
        <v>#DIV/0!</v>
      </c>
      <c r="E60" s="192">
        <v>3.5</v>
      </c>
      <c r="F60" s="198"/>
      <c r="G60" s="76" t="e">
        <f>[31]March_2025!AQ7</f>
        <v>#DIV/0!</v>
      </c>
      <c r="H60" s="192">
        <v>3.5</v>
      </c>
      <c r="I60" s="196"/>
      <c r="J60" s="194" t="e">
        <f>[33]March_2025!AQ17</f>
        <v>#DIV/0!</v>
      </c>
      <c r="K60" s="195">
        <v>1</v>
      </c>
    </row>
    <row r="61" spans="2:11" ht="13.8">
      <c r="B61" s="199" t="s">
        <v>76</v>
      </c>
      <c r="C61" s="191"/>
      <c r="D61" s="76">
        <f>'[32]YTD 2025'!$E10</f>
        <v>8.7664670658682695</v>
      </c>
      <c r="E61" s="200">
        <v>5</v>
      </c>
      <c r="F61" s="191"/>
      <c r="G61" s="76">
        <f>[31]March_2025!AQ8</f>
        <v>10.607235567685406</v>
      </c>
      <c r="H61" s="200">
        <v>5</v>
      </c>
      <c r="I61" s="196"/>
      <c r="J61" s="194">
        <f>[33]March_2025!AQ18</f>
        <v>0.66824561403508764</v>
      </c>
      <c r="K61" s="195">
        <v>1</v>
      </c>
    </row>
    <row r="62" spans="2:11" ht="13.8">
      <c r="B62" s="201" t="s">
        <v>82</v>
      </c>
      <c r="C62" s="202"/>
      <c r="D62" s="76">
        <f>'[32]YTD 2025'!$E11</f>
        <v>2.5618217399039276</v>
      </c>
      <c r="E62" s="200">
        <v>3.3</v>
      </c>
      <c r="F62" s="202"/>
      <c r="G62" s="76">
        <f>[31]March_2025!AQ9</f>
        <v>4.6996399261015078</v>
      </c>
      <c r="H62" s="200">
        <v>3.3</v>
      </c>
      <c r="I62" s="203"/>
      <c r="J62" s="194">
        <f>[33]March_2025!AQ19</f>
        <v>0.86251968503937015</v>
      </c>
      <c r="K62" s="204">
        <v>1</v>
      </c>
    </row>
    <row r="63" spans="2:11" ht="14.4" thickBot="1">
      <c r="B63" s="38" t="s">
        <v>128</v>
      </c>
      <c r="C63" s="205"/>
      <c r="D63" s="76" t="e">
        <f>'[32]YTD 2025'!$E12</f>
        <v>#DIV/0!</v>
      </c>
      <c r="E63" s="206">
        <v>3.5</v>
      </c>
      <c r="F63" s="205"/>
      <c r="G63" s="76" t="e">
        <f>[31]March_2025!AQ10</f>
        <v>#DIV/0!</v>
      </c>
      <c r="H63" s="206">
        <v>3.5</v>
      </c>
      <c r="I63" s="207"/>
      <c r="J63" s="194" t="e">
        <f>[33]March_2025!AQ20</f>
        <v>#DIV/0!</v>
      </c>
      <c r="K63" s="208">
        <v>1</v>
      </c>
    </row>
    <row r="64" spans="2:11" ht="14.4" thickBot="1">
      <c r="B64" s="429" t="s">
        <v>161</v>
      </c>
      <c r="C64" s="205"/>
      <c r="D64" s="76">
        <f>'[32]YTD 2025'!$E13</f>
        <v>4.8792508624938291</v>
      </c>
      <c r="E64" s="206">
        <v>5</v>
      </c>
      <c r="F64" s="205"/>
      <c r="G64" s="76">
        <f>[31]March_2025!AQ11</f>
        <v>6.2003723782925313</v>
      </c>
      <c r="H64" s="206">
        <v>5</v>
      </c>
      <c r="I64" s="207"/>
      <c r="J64" s="194">
        <f>[33]March_2025!AQ21</f>
        <v>0.33859649122807017</v>
      </c>
      <c r="K64" s="208">
        <v>1</v>
      </c>
    </row>
    <row r="65" spans="2:11">
      <c r="B65" s="209"/>
      <c r="C65" s="210"/>
      <c r="D65" s="76">
        <f>'[32]YTD 2025'!$E14</f>
        <v>7.3212989562852382</v>
      </c>
      <c r="E65" s="210"/>
      <c r="F65" s="210"/>
      <c r="G65" s="76">
        <f>[31]March_2025!AQ12</f>
        <v>8.2260188524748212</v>
      </c>
      <c r="H65" s="211"/>
      <c r="I65" s="212"/>
      <c r="J65" s="194">
        <f>[33]March_2025!AQ22</f>
        <v>0.73297341057635168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6">
      <c r="A2" s="215"/>
      <c r="B2" s="587" t="s">
        <v>34</v>
      </c>
      <c r="C2" s="587"/>
      <c r="D2" s="587"/>
      <c r="E2" s="215"/>
      <c r="F2" s="215"/>
      <c r="G2" s="215"/>
      <c r="H2" s="215"/>
      <c r="I2" s="215"/>
      <c r="J2" s="215"/>
      <c r="K2" s="215"/>
    </row>
    <row r="3" spans="1:13" s="219" customFormat="1" ht="15.6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6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6">
      <c r="A14" s="215"/>
      <c r="B14" s="587" t="s">
        <v>100</v>
      </c>
      <c r="C14" s="587"/>
      <c r="D14" s="587"/>
      <c r="E14" s="215"/>
      <c r="F14" s="215"/>
      <c r="G14" s="215"/>
      <c r="H14" s="215"/>
      <c r="I14" s="215"/>
      <c r="J14" s="215"/>
      <c r="K14" s="215"/>
    </row>
    <row r="15" spans="1:13" ht="15.6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6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6">
      <c r="A27" s="215"/>
      <c r="B27" s="587" t="s">
        <v>101</v>
      </c>
      <c r="C27" s="587"/>
      <c r="D27" s="587"/>
      <c r="E27" s="215"/>
      <c r="F27" s="215"/>
      <c r="G27" s="215"/>
      <c r="H27" s="215"/>
      <c r="I27" s="215"/>
      <c r="J27" s="215"/>
      <c r="K27" s="215"/>
    </row>
    <row r="28" spans="1:13" ht="15.6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6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589" t="s">
        <v>102</v>
      </c>
      <c r="D3" s="590"/>
      <c r="E3" s="591">
        <f ca="1">TODAY()</f>
        <v>45750</v>
      </c>
      <c r="F3" s="591"/>
      <c r="G3" s="59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8.600000000000001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592" t="s">
        <v>143</v>
      </c>
      <c r="D14" s="592"/>
      <c r="E14" s="592"/>
      <c r="F14" s="592"/>
      <c r="G14" s="592"/>
      <c r="H14" s="592"/>
    </row>
    <row r="15" spans="3:23" ht="15" customHeight="1">
      <c r="C15" s="592"/>
      <c r="D15" s="592"/>
      <c r="E15" s="592"/>
      <c r="F15" s="592"/>
      <c r="G15" s="592"/>
      <c r="H15" s="592"/>
    </row>
    <row r="16" spans="3:23" ht="15" customHeight="1">
      <c r="C16" s="592"/>
      <c r="D16" s="592"/>
      <c r="E16" s="592"/>
      <c r="F16" s="592"/>
      <c r="G16" s="592"/>
      <c r="H16" s="592"/>
    </row>
    <row r="17" spans="3:8" ht="15" customHeight="1">
      <c r="C17" s="592"/>
      <c r="D17" s="592"/>
      <c r="E17" s="592"/>
      <c r="F17" s="592"/>
      <c r="G17" s="592"/>
      <c r="H17" s="592"/>
    </row>
    <row r="18" spans="3:8" ht="15" customHeight="1">
      <c r="C18" s="592"/>
      <c r="D18" s="592"/>
      <c r="E18" s="592"/>
      <c r="F18" s="592"/>
      <c r="G18" s="592"/>
      <c r="H18" s="592"/>
    </row>
    <row r="19" spans="3:8" ht="15" customHeight="1">
      <c r="C19" s="592"/>
      <c r="D19" s="592"/>
      <c r="E19" s="592"/>
      <c r="F19" s="592"/>
      <c r="G19" s="592"/>
      <c r="H19" s="592"/>
    </row>
    <row r="20" spans="3:8" ht="15" customHeight="1">
      <c r="C20" s="592"/>
      <c r="D20" s="592"/>
      <c r="E20" s="592"/>
      <c r="F20" s="592"/>
      <c r="G20" s="592"/>
      <c r="H20" s="592"/>
    </row>
    <row r="21" spans="3:8" ht="15" customHeight="1">
      <c r="C21" s="592"/>
      <c r="D21" s="592"/>
      <c r="E21" s="592"/>
      <c r="F21" s="592"/>
      <c r="G21" s="592"/>
      <c r="H21" s="592"/>
    </row>
    <row r="22" spans="3:8" ht="15" customHeight="1">
      <c r="C22" s="592"/>
      <c r="D22" s="592"/>
      <c r="E22" s="592"/>
      <c r="F22" s="592"/>
      <c r="G22" s="592"/>
      <c r="H22" s="592"/>
    </row>
    <row r="23" spans="3:8" ht="15" customHeight="1">
      <c r="C23" s="592"/>
      <c r="D23" s="592"/>
      <c r="E23" s="592"/>
      <c r="F23" s="592"/>
      <c r="G23" s="592"/>
      <c r="H23" s="592"/>
    </row>
    <row r="24" spans="3:8" ht="15" customHeight="1">
      <c r="C24" s="592"/>
      <c r="D24" s="592"/>
      <c r="E24" s="592"/>
      <c r="F24" s="592"/>
      <c r="G24" s="592"/>
      <c r="H24" s="592"/>
    </row>
    <row r="25" spans="3:8" ht="15" customHeight="1">
      <c r="C25" s="592"/>
      <c r="D25" s="592"/>
      <c r="E25" s="592"/>
      <c r="F25" s="592"/>
      <c r="G25" s="592"/>
      <c r="H25" s="592"/>
    </row>
    <row r="26" spans="3:8" ht="15" customHeight="1">
      <c r="C26" s="592"/>
      <c r="D26" s="592"/>
      <c r="E26" s="592"/>
      <c r="F26" s="592"/>
      <c r="G26" s="592"/>
      <c r="H26" s="592"/>
    </row>
    <row r="27" spans="3:8" ht="15" customHeight="1">
      <c r="C27" s="592"/>
      <c r="D27" s="592"/>
      <c r="E27" s="592"/>
      <c r="F27" s="592"/>
      <c r="G27" s="592"/>
      <c r="H27" s="592"/>
    </row>
    <row r="28" spans="3:8" ht="15" customHeight="1">
      <c r="C28" s="592"/>
      <c r="D28" s="592"/>
      <c r="E28" s="592"/>
      <c r="F28" s="592"/>
      <c r="G28" s="592"/>
      <c r="H28" s="592"/>
    </row>
    <row r="29" spans="3:8" ht="15" customHeight="1">
      <c r="C29" s="592"/>
      <c r="D29" s="592"/>
      <c r="E29" s="592"/>
      <c r="F29" s="592"/>
      <c r="G29" s="592"/>
      <c r="H29" s="592"/>
    </row>
    <row r="30" spans="3:8" ht="15" customHeight="1">
      <c r="C30" s="592"/>
      <c r="D30" s="592"/>
      <c r="E30" s="592"/>
      <c r="F30" s="592"/>
      <c r="G30" s="592"/>
      <c r="H30" s="592"/>
    </row>
    <row r="31" spans="3:8" ht="15" customHeight="1">
      <c r="C31" s="592"/>
      <c r="D31" s="592"/>
      <c r="E31" s="592"/>
      <c r="F31" s="592"/>
      <c r="G31" s="592"/>
      <c r="H31" s="592"/>
    </row>
    <row r="36" spans="2:17" ht="15" customHeight="1"/>
    <row r="37" spans="2:17" ht="15" customHeight="1"/>
    <row r="38" spans="2:17" ht="30.75" customHeight="1" thickBot="1">
      <c r="C38" s="593" t="s">
        <v>109</v>
      </c>
      <c r="D38" s="593"/>
      <c r="E38" s="593"/>
      <c r="F38" s="594">
        <f ca="1">TODAY()</f>
        <v>45750</v>
      </c>
      <c r="G38" s="594"/>
      <c r="H38" s="594"/>
      <c r="I38" s="594"/>
      <c r="J38" s="595" t="s">
        <v>110</v>
      </c>
      <c r="K38" s="595"/>
      <c r="L38" s="595"/>
      <c r="M38" s="595"/>
      <c r="N38" s="595"/>
      <c r="O38" s="595"/>
      <c r="P38" s="595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'[38]Brewer Performance'!D40</f>
        <v>96.507822129582451</v>
      </c>
      <c r="E40" s="259">
        <f>AVERAGE('[39]Feb. 1'!I12:I13,'[39]Feb. 2'!I11:I14,[39]Feb.4!I13,[39]Feb.8!I14:I16,[39]Feb.9!I14,[39]Feb.9!I17:I18,[39]Feb10!I13:I16,[39]Feb14!I17,[39]Feb14!I15:I17,[39]Feb17!I10,[39]Feb17!I19:I21,'[39]Feb 21'!I10:I12,'[39]Feb 22'!I11:I13,'[39]Feb 23'!I14:I16,'[39]Feb 24'!I10:I12,'[39]Feb 25'!I13:I15,'[39]Feb 28'!I15:I18)</f>
        <v>98.284801217583563</v>
      </c>
      <c r="F40" s="259">
        <v>98.226686244092193</v>
      </c>
      <c r="G40" s="259">
        <v>98.210530202427222</v>
      </c>
      <c r="H40" s="259">
        <f>'[40]Brewer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'[38]Brewer Performance'!D41</f>
        <v>97.99738587335284</v>
      </c>
      <c r="E41" s="259">
        <f>AVERAGE('[39]Feb. 1'!I10:I11,'[39]Feb. 2'!I10,[39]Feb.3!I11:I13,[39]Feb.4!I10:I12,[39]Feb.8!I10,[39]Feb.8!I13,[39]Feb.9!I10:I13,[39]Feb10!I10:I12,[39]Feb11!I11:I13,[39]Feb14!I13:I14,[39]Feb17!I16:I18,[39]Feb18!I13:I15,'[39]Feb 21'!I17:I19,'[39]Feb 22'!I10,'[39]Feb 22'!I20:I22,'[39]Feb 23'!I10:I11,'[39]Feb 23'!I21,'[39]Feb 25'!I10:I12,'[39]Feb 28'!I11:I14)</f>
        <v>97.918121549662388</v>
      </c>
      <c r="F41" s="259">
        <v>98.070081368185257</v>
      </c>
      <c r="G41" s="259">
        <v>97.79453968977019</v>
      </c>
      <c r="H41" s="259">
        <f>'[40]Brewer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'[38]Brewer Performance'!D43</f>
        <v>98.304611060419475</v>
      </c>
      <c r="E44" s="259">
        <f>AVERAGE('[39]Feb. 2'!I15,[39]Feb.3!I10,[39]Feb.4!I16:I17,[39]Feb.8!I19:I21,[39]Feb.9!I19:I20,[39]Feb10!I17:I18,[39]Feb11!I10,[39]Feb14!I10:I12,[39]Feb17!I11:I13,[39]Feb18!I10:I12,'[39]Feb 21'!I13,'[39]Feb 21'!I16,'[39]Feb 22'!I16:I19,'[39]Feb 23'!I17:I20,'[39]Feb 24'!I15:I18,'[39]Feb 25'!I16:I17,'[39]Feb 28'!I10,'[39]Feb 28'!I19:I20)</f>
        <v>97.289162940824014</v>
      </c>
      <c r="F44" s="259">
        <v>98.163642226187022</v>
      </c>
      <c r="G44" s="259">
        <v>97.964054285784258</v>
      </c>
      <c r="H44" s="259">
        <f>'[40]Brewer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'[38]Brewer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'[38]Brewer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588" t="s">
        <v>123</v>
      </c>
      <c r="C48" s="588"/>
      <c r="D48" s="588"/>
      <c r="E48" s="588"/>
      <c r="F48" s="588"/>
      <c r="G48" s="588"/>
      <c r="H48" s="588"/>
      <c r="I48" s="588"/>
      <c r="J48" s="588"/>
      <c r="K48" s="588"/>
      <c r="L48" s="588"/>
      <c r="M48" s="588"/>
      <c r="N48" s="588"/>
      <c r="O48" s="588"/>
      <c r="P48" s="588"/>
      <c r="Q48" s="588"/>
    </row>
    <row r="49" spans="2:17" ht="15" customHeight="1">
      <c r="B49" s="588"/>
      <c r="C49" s="588"/>
      <c r="D49" s="588"/>
      <c r="E49" s="588"/>
      <c r="F49" s="588"/>
      <c r="G49" s="588"/>
      <c r="H49" s="588"/>
      <c r="I49" s="588"/>
      <c r="J49" s="588"/>
      <c r="K49" s="588"/>
      <c r="L49" s="588"/>
      <c r="M49" s="588"/>
      <c r="N49" s="588"/>
      <c r="O49" s="588"/>
      <c r="P49" s="588"/>
      <c r="Q49" s="588"/>
    </row>
    <row r="50" spans="2:17" ht="15" customHeight="1">
      <c r="B50" s="588"/>
      <c r="C50" s="588"/>
      <c r="D50" s="588"/>
      <c r="E50" s="588"/>
      <c r="F50" s="588"/>
      <c r="G50" s="588"/>
      <c r="H50" s="588"/>
      <c r="I50" s="588"/>
      <c r="J50" s="588"/>
      <c r="K50" s="588"/>
      <c r="L50" s="588"/>
      <c r="M50" s="588"/>
      <c r="N50" s="588"/>
      <c r="O50" s="588"/>
      <c r="P50" s="588"/>
      <c r="Q50" s="588"/>
    </row>
    <row r="51" spans="2:17" ht="15" customHeight="1">
      <c r="B51" s="588"/>
      <c r="C51" s="588"/>
      <c r="D51" s="588"/>
      <c r="E51" s="588"/>
      <c r="F51" s="588"/>
      <c r="G51" s="588"/>
      <c r="H51" s="588"/>
      <c r="I51" s="588"/>
      <c r="J51" s="588"/>
      <c r="K51" s="588"/>
      <c r="L51" s="588"/>
      <c r="M51" s="588"/>
      <c r="N51" s="588"/>
      <c r="O51" s="588"/>
      <c r="P51" s="588"/>
      <c r="Q51" s="588"/>
    </row>
    <row r="52" spans="2:17" ht="15" customHeight="1">
      <c r="B52" s="588"/>
      <c r="C52" s="588"/>
      <c r="D52" s="588"/>
      <c r="E52" s="588"/>
      <c r="F52" s="588"/>
      <c r="G52" s="588"/>
      <c r="H52" s="588"/>
      <c r="I52" s="588"/>
      <c r="J52" s="588"/>
      <c r="K52" s="588"/>
      <c r="L52" s="588"/>
      <c r="M52" s="588"/>
      <c r="N52" s="588"/>
      <c r="O52" s="588"/>
      <c r="P52" s="588"/>
      <c r="Q52" s="588"/>
    </row>
    <row r="53" spans="2:17" ht="15" customHeight="1">
      <c r="B53" s="588"/>
      <c r="C53" s="588"/>
      <c r="D53" s="588"/>
      <c r="E53" s="588"/>
      <c r="F53" s="588"/>
      <c r="G53" s="588"/>
      <c r="H53" s="588"/>
      <c r="I53" s="588"/>
      <c r="J53" s="588"/>
      <c r="K53" s="588"/>
      <c r="L53" s="588"/>
      <c r="M53" s="588"/>
      <c r="N53" s="588"/>
      <c r="O53" s="588"/>
      <c r="P53" s="588"/>
      <c r="Q53" s="588"/>
    </row>
    <row r="54" spans="2:17" ht="15" customHeight="1">
      <c r="B54" s="588"/>
      <c r="C54" s="588"/>
      <c r="D54" s="588"/>
      <c r="E54" s="588"/>
      <c r="F54" s="588"/>
      <c r="G54" s="588"/>
      <c r="H54" s="588"/>
      <c r="I54" s="588"/>
      <c r="J54" s="588"/>
      <c r="K54" s="588"/>
      <c r="L54" s="588"/>
      <c r="M54" s="588"/>
      <c r="N54" s="588"/>
      <c r="O54" s="588"/>
      <c r="P54" s="588"/>
      <c r="Q54" s="588"/>
    </row>
    <row r="55" spans="2:17" ht="15" customHeight="1">
      <c r="B55" s="588"/>
      <c r="C55" s="588"/>
      <c r="D55" s="588"/>
      <c r="E55" s="588"/>
      <c r="F55" s="588"/>
      <c r="G55" s="588"/>
      <c r="H55" s="588"/>
      <c r="I55" s="588"/>
      <c r="J55" s="588"/>
      <c r="K55" s="588"/>
      <c r="L55" s="588"/>
      <c r="M55" s="588"/>
      <c r="N55" s="588"/>
      <c r="O55" s="588"/>
      <c r="P55" s="588"/>
      <c r="Q55" s="588"/>
    </row>
    <row r="56" spans="2:17" ht="15" customHeight="1">
      <c r="B56" s="588"/>
      <c r="C56" s="588"/>
      <c r="D56" s="588"/>
      <c r="E56" s="588"/>
      <c r="F56" s="588"/>
      <c r="G56" s="588"/>
      <c r="H56" s="588"/>
      <c r="I56" s="588"/>
      <c r="J56" s="588"/>
      <c r="K56" s="588"/>
      <c r="L56" s="588"/>
      <c r="M56" s="588"/>
      <c r="N56" s="588"/>
      <c r="O56" s="588"/>
      <c r="P56" s="588"/>
      <c r="Q56" s="588"/>
    </row>
    <row r="57" spans="2:17" ht="15" customHeight="1">
      <c r="B57" s="588"/>
      <c r="C57" s="588"/>
      <c r="D57" s="588"/>
      <c r="E57" s="588"/>
      <c r="F57" s="588"/>
      <c r="G57" s="588"/>
      <c r="H57" s="588"/>
      <c r="I57" s="588"/>
      <c r="J57" s="588"/>
      <c r="K57" s="588"/>
      <c r="L57" s="588"/>
      <c r="M57" s="588"/>
      <c r="N57" s="588"/>
      <c r="O57" s="588"/>
      <c r="P57" s="588"/>
      <c r="Q57" s="588"/>
    </row>
    <row r="58" spans="2:17" ht="15" customHeight="1">
      <c r="B58" s="588"/>
      <c r="C58" s="588"/>
      <c r="D58" s="588"/>
      <c r="E58" s="588"/>
      <c r="F58" s="588"/>
      <c r="G58" s="588"/>
      <c r="H58" s="588"/>
      <c r="I58" s="588"/>
      <c r="J58" s="588"/>
      <c r="K58" s="588"/>
      <c r="L58" s="588"/>
      <c r="M58" s="588"/>
      <c r="N58" s="588"/>
      <c r="O58" s="588"/>
      <c r="P58" s="588"/>
      <c r="Q58" s="588"/>
    </row>
    <row r="59" spans="2:17" ht="15" customHeight="1">
      <c r="B59" s="588"/>
      <c r="C59" s="588"/>
      <c r="D59" s="588"/>
      <c r="E59" s="588"/>
      <c r="F59" s="588"/>
      <c r="G59" s="588"/>
      <c r="H59" s="588"/>
      <c r="I59" s="588"/>
      <c r="J59" s="588"/>
      <c r="K59" s="588"/>
      <c r="L59" s="588"/>
      <c r="M59" s="588"/>
      <c r="N59" s="588"/>
      <c r="O59" s="588"/>
      <c r="P59" s="588"/>
      <c r="Q59" s="588"/>
    </row>
    <row r="60" spans="2:17" ht="15" customHeight="1">
      <c r="B60" s="588"/>
      <c r="C60" s="588"/>
      <c r="D60" s="588"/>
      <c r="E60" s="588"/>
      <c r="F60" s="588"/>
      <c r="G60" s="588"/>
      <c r="H60" s="588"/>
      <c r="I60" s="588"/>
      <c r="J60" s="588"/>
      <c r="K60" s="588"/>
      <c r="L60" s="588"/>
      <c r="M60" s="588"/>
      <c r="N60" s="588"/>
      <c r="O60" s="588"/>
      <c r="P60" s="588"/>
      <c r="Q60" s="588"/>
    </row>
    <row r="61" spans="2:17" ht="15" customHeight="1">
      <c r="B61" s="588"/>
      <c r="C61" s="588"/>
      <c r="D61" s="588"/>
      <c r="E61" s="588"/>
      <c r="F61" s="588"/>
      <c r="G61" s="588"/>
      <c r="H61" s="588"/>
      <c r="I61" s="588"/>
      <c r="J61" s="588"/>
      <c r="K61" s="588"/>
      <c r="L61" s="588"/>
      <c r="M61" s="588"/>
      <c r="N61" s="588"/>
      <c r="O61" s="588"/>
      <c r="P61" s="588"/>
      <c r="Q61" s="588"/>
    </row>
    <row r="62" spans="2:17" ht="15" customHeight="1">
      <c r="B62" s="588"/>
      <c r="C62" s="588"/>
      <c r="D62" s="588"/>
      <c r="E62" s="588"/>
      <c r="F62" s="588"/>
      <c r="G62" s="588"/>
      <c r="H62" s="588"/>
      <c r="I62" s="588"/>
      <c r="J62" s="588"/>
      <c r="K62" s="588"/>
      <c r="L62" s="588"/>
      <c r="M62" s="588"/>
      <c r="N62" s="588"/>
      <c r="O62" s="588"/>
      <c r="P62" s="588"/>
      <c r="Q62" s="588"/>
    </row>
    <row r="63" spans="2:17" ht="15" customHeight="1">
      <c r="B63" s="588"/>
      <c r="C63" s="588"/>
      <c r="D63" s="588"/>
      <c r="E63" s="588"/>
      <c r="F63" s="588"/>
      <c r="G63" s="588"/>
      <c r="H63" s="588"/>
      <c r="I63" s="588"/>
      <c r="J63" s="588"/>
      <c r="K63" s="588"/>
      <c r="L63" s="588"/>
      <c r="M63" s="588"/>
      <c r="N63" s="588"/>
      <c r="O63" s="588"/>
      <c r="P63" s="588"/>
      <c r="Q63" s="588"/>
    </row>
    <row r="64" spans="2:17" ht="15" customHeight="1">
      <c r="B64" s="588"/>
      <c r="C64" s="588"/>
      <c r="D64" s="588"/>
      <c r="E64" s="588"/>
      <c r="F64" s="588"/>
      <c r="G64" s="588"/>
      <c r="H64" s="588"/>
      <c r="I64" s="588"/>
      <c r="J64" s="588"/>
      <c r="K64" s="588"/>
      <c r="L64" s="588"/>
      <c r="M64" s="588"/>
      <c r="N64" s="588"/>
      <c r="O64" s="588"/>
      <c r="P64" s="588"/>
      <c r="Q64" s="588"/>
    </row>
    <row r="65" spans="2:17" ht="15" customHeight="1">
      <c r="B65" s="588"/>
      <c r="C65" s="588"/>
      <c r="D65" s="588"/>
      <c r="E65" s="588"/>
      <c r="F65" s="588"/>
      <c r="G65" s="588"/>
      <c r="H65" s="588"/>
      <c r="I65" s="588"/>
      <c r="J65" s="588"/>
      <c r="K65" s="588"/>
      <c r="L65" s="588"/>
      <c r="M65" s="588"/>
      <c r="N65" s="588"/>
      <c r="O65" s="588"/>
      <c r="P65" s="588"/>
      <c r="Q65" s="588"/>
    </row>
    <row r="66" spans="2:17" ht="15" customHeight="1">
      <c r="B66" s="588"/>
      <c r="C66" s="588"/>
      <c r="D66" s="588"/>
      <c r="E66" s="588"/>
      <c r="F66" s="588"/>
      <c r="G66" s="588"/>
      <c r="H66" s="588"/>
      <c r="I66" s="588"/>
      <c r="J66" s="588"/>
      <c r="K66" s="588"/>
      <c r="L66" s="588"/>
      <c r="M66" s="588"/>
      <c r="N66" s="588"/>
      <c r="O66" s="588"/>
      <c r="P66" s="588"/>
      <c r="Q66" s="588"/>
    </row>
    <row r="67" spans="2:17" ht="15" customHeight="1">
      <c r="B67" s="588"/>
      <c r="C67" s="588"/>
      <c r="D67" s="588"/>
      <c r="E67" s="588"/>
      <c r="F67" s="588"/>
      <c r="G67" s="588"/>
      <c r="H67" s="588"/>
      <c r="I67" s="588"/>
      <c r="J67" s="588"/>
      <c r="K67" s="588"/>
      <c r="L67" s="588"/>
      <c r="M67" s="588"/>
      <c r="N67" s="588"/>
      <c r="O67" s="588"/>
      <c r="P67" s="588"/>
      <c r="Q67" s="588"/>
    </row>
    <row r="68" spans="2:17" ht="15" customHeight="1">
      <c r="B68" s="588"/>
      <c r="C68" s="588"/>
      <c r="D68" s="588"/>
      <c r="E68" s="588"/>
      <c r="F68" s="588"/>
      <c r="G68" s="588"/>
      <c r="H68" s="588"/>
      <c r="I68" s="588"/>
      <c r="J68" s="588"/>
      <c r="K68" s="588"/>
      <c r="L68" s="588"/>
      <c r="M68" s="588"/>
      <c r="N68" s="588"/>
      <c r="O68" s="588"/>
      <c r="P68" s="588"/>
      <c r="Q68" s="588"/>
    </row>
    <row r="69" spans="2:17" ht="15" customHeight="1">
      <c r="B69" s="588"/>
      <c r="C69" s="588"/>
      <c r="D69" s="588"/>
      <c r="E69" s="588"/>
      <c r="F69" s="588"/>
      <c r="G69" s="588"/>
      <c r="H69" s="588"/>
      <c r="I69" s="588"/>
      <c r="J69" s="588"/>
      <c r="K69" s="588"/>
      <c r="L69" s="588"/>
      <c r="M69" s="588"/>
      <c r="N69" s="588"/>
      <c r="O69" s="588"/>
      <c r="P69" s="588"/>
      <c r="Q69" s="588"/>
    </row>
    <row r="70" spans="2:17" ht="15" customHeight="1">
      <c r="B70" s="588"/>
      <c r="C70" s="588"/>
      <c r="D70" s="588"/>
      <c r="E70" s="588"/>
      <c r="F70" s="588"/>
      <c r="G70" s="588"/>
      <c r="H70" s="588"/>
      <c r="I70" s="588"/>
      <c r="J70" s="588"/>
      <c r="K70" s="588"/>
      <c r="L70" s="588"/>
      <c r="M70" s="588"/>
      <c r="N70" s="588"/>
      <c r="O70" s="588"/>
      <c r="P70" s="588"/>
      <c r="Q70" s="588"/>
    </row>
    <row r="71" spans="2:17" ht="15" customHeight="1">
      <c r="B71" s="588"/>
      <c r="C71" s="588"/>
      <c r="D71" s="588"/>
      <c r="E71" s="588"/>
      <c r="F71" s="588"/>
      <c r="G71" s="588"/>
      <c r="H71" s="588"/>
      <c r="I71" s="588"/>
      <c r="J71" s="588"/>
      <c r="K71" s="588"/>
      <c r="L71" s="588"/>
      <c r="M71" s="588"/>
      <c r="N71" s="588"/>
      <c r="O71" s="588"/>
      <c r="P71" s="588"/>
      <c r="Q71" s="588"/>
    </row>
    <row r="72" spans="2:17" ht="15" customHeight="1">
      <c r="B72" s="588"/>
      <c r="C72" s="588"/>
      <c r="D72" s="588"/>
      <c r="E72" s="588"/>
      <c r="F72" s="588"/>
      <c r="G72" s="588"/>
      <c r="H72" s="588"/>
      <c r="I72" s="588"/>
      <c r="J72" s="588"/>
      <c r="K72" s="588"/>
      <c r="L72" s="588"/>
      <c r="M72" s="588"/>
      <c r="N72" s="588"/>
      <c r="O72" s="588"/>
      <c r="P72" s="588"/>
      <c r="Q72" s="588"/>
    </row>
    <row r="73" spans="2:17" ht="15" customHeight="1">
      <c r="B73" s="588"/>
      <c r="C73" s="588"/>
      <c r="D73" s="588"/>
      <c r="E73" s="588"/>
      <c r="F73" s="588"/>
      <c r="G73" s="588"/>
      <c r="H73" s="588"/>
      <c r="I73" s="588"/>
      <c r="J73" s="588"/>
      <c r="K73" s="588"/>
      <c r="L73" s="588"/>
      <c r="M73" s="588"/>
      <c r="N73" s="588"/>
      <c r="O73" s="588"/>
      <c r="P73" s="588"/>
      <c r="Q73" s="588"/>
    </row>
    <row r="74" spans="2:17" ht="15" customHeight="1">
      <c r="B74" s="588"/>
      <c r="C74" s="588"/>
      <c r="D74" s="588"/>
      <c r="E74" s="588"/>
      <c r="F74" s="588"/>
      <c r="G74" s="588"/>
      <c r="H74" s="588"/>
      <c r="I74" s="588"/>
      <c r="J74" s="588"/>
      <c r="K74" s="588"/>
      <c r="L74" s="588"/>
      <c r="M74" s="588"/>
      <c r="N74" s="588"/>
      <c r="O74" s="588"/>
      <c r="P74" s="588"/>
      <c r="Q74" s="588"/>
    </row>
    <row r="75" spans="2:17" ht="15" customHeight="1">
      <c r="B75" s="588"/>
      <c r="C75" s="588"/>
      <c r="D75" s="588"/>
      <c r="E75" s="588"/>
      <c r="F75" s="588"/>
      <c r="G75" s="588"/>
      <c r="H75" s="588"/>
      <c r="I75" s="588"/>
      <c r="J75" s="588"/>
      <c r="K75" s="588"/>
      <c r="L75" s="588"/>
      <c r="M75" s="588"/>
      <c r="N75" s="588"/>
      <c r="O75" s="588"/>
      <c r="P75" s="588"/>
      <c r="Q75" s="588"/>
    </row>
    <row r="76" spans="2:17">
      <c r="B76" s="588"/>
      <c r="C76" s="588"/>
      <c r="D76" s="588"/>
      <c r="E76" s="588"/>
      <c r="F76" s="588"/>
      <c r="G76" s="588"/>
      <c r="H76" s="588"/>
      <c r="I76" s="588"/>
      <c r="J76" s="588"/>
      <c r="K76" s="588"/>
      <c r="L76" s="588"/>
      <c r="M76" s="588"/>
      <c r="N76" s="588"/>
      <c r="O76" s="588"/>
      <c r="P76" s="588"/>
      <c r="Q76" s="588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Dec 18th</vt:lpstr>
      <vt:lpstr>Mar. 3rd</vt:lpstr>
      <vt:lpstr>Mar. 4th</vt:lpstr>
      <vt:lpstr>Mar. 5th </vt:lpstr>
      <vt:lpstr>Mar. 6th</vt:lpstr>
      <vt:lpstr>Mar. 7th &amp; 8th</vt:lpstr>
      <vt:lpstr>Mar. 10th</vt:lpstr>
      <vt:lpstr>Mar. 11th</vt:lpstr>
      <vt:lpstr>Mar. 12th</vt:lpstr>
      <vt:lpstr>Mar. 13th</vt:lpstr>
      <vt:lpstr>Mar. 14th &amp; 16th</vt:lpstr>
      <vt:lpstr>Mar. 17th</vt:lpstr>
      <vt:lpstr>Mar. 18th</vt:lpstr>
      <vt:lpstr>Mar. 19th</vt:lpstr>
      <vt:lpstr>Mar. 20th</vt:lpstr>
      <vt:lpstr>Mar. 21th</vt:lpstr>
      <vt:lpstr>Mar. 24th</vt:lpstr>
      <vt:lpstr>Mar. 25th</vt:lpstr>
      <vt:lpstr>Mar. 26th </vt:lpstr>
      <vt:lpstr>Mar. 27th </vt:lpstr>
      <vt:lpstr>Mar. 28th </vt:lpstr>
      <vt:lpstr>Mar. 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2025-04-03T15:35:20Z</dcterms:modified>
</cp:coreProperties>
</file>